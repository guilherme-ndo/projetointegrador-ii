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CINE_Areas" sheetId="2" state="visible" r:id="rId4"/>
    <sheet name="DePara_CBO_CINE" sheetId="3" state="visible" r:id="rId5"/>
    <sheet name="Escolaridade_CAGED" sheetId="4" state="visible" r:id="rId6"/>
    <sheet name="Resum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<sst xmlns="http://schemas.openxmlformats.org/spreadsheetml/2006/main" count="437" uniqueCount="211">
  <si>
    <t xml:space="preserve">Tabela de-para CINE Brasil x CBO 2002 (RASCUNHO)</t>
  </si>
  <si>
    <t xml:space="preserve">Projeto Integrador II · Fatec Santana de Parnaíba · Ciência de Dados</t>
  </si>
  <si>
    <t xml:space="preserve">Objetivo</t>
  </si>
  <si>
    <t xml:space="preserve">Ligar área do curso (CINE Brasil, usada pelo INEP no Censo da Educação Superior) à ocupação do emprego (CBO 2002, usada no Novo CAGED e na RAIS).</t>
  </si>
  <si>
    <t xml:space="preserve">Como usar no Power BI</t>
  </si>
  <si>
    <t xml:space="preserve">1. No CAGED/RAIS, criar colunas cbo_4 = primeiros 4 dígitos, cbo_3 = 3 dígitos, cbo_2 = 2 dígitos e cbo_1 = 1 dígito da ocupação.</t>
  </si>
  <si>
    <t xml:space="preserve">2. Procurar primeiro em cbo_4; se não achar, cbo_3; depois cbo_2; depois cbo_1 (do mais específico ao mais geral).</t>
  </si>
  <si>
    <t xml:space="preserve">3. Para o índice de descompasso, usar apenas linhas com tipo_vinculo = Principal e admissões com escolaridade Superior (aba Escolaridade_CAGED).</t>
  </si>
  <si>
    <t xml:space="preserve">Legenda</t>
  </si>
  <si>
    <t xml:space="preserve">Células com fundo amarelo são editáveis: revisar código, área e confiança.</t>
  </si>
  <si>
    <t xml:space="preserve">Coluna area_nome é fórmula (busca na aba CINE_Areas); não editar.</t>
  </si>
  <si>
    <t xml:space="preserve">Confiança: Alta = mapeamento direto; Média = mapeamento usual, com exceções; Verificar = conferir código e descrição.</t>
  </si>
  <si>
    <t xml:space="preserve">Atenção</t>
  </si>
  <si>
    <t xml:space="preserve">Rascunho elaborado sem conferência linha a linha nas fontes oficiais. Antes de usar, validar cada código CBO na Classificação Brasileira de Ocupações (MTE) e cada área na documentação CINE Brasil do INEP.</t>
  </si>
  <si>
    <t xml:space="preserve">Códigos de escolaridade do Novo CAGED (aba Escolaridade_CAGED) também devem ser confirmados no dicionário de dados do ano baixado.</t>
  </si>
  <si>
    <t xml:space="preserve">Uma ocupação pode receber formados de mais de uma área (ex.: Engenheiro de produção e Administração). Aqui cada ocupação tem uma área principal; essa simplificação deve ser citada como limitação no relatório.</t>
  </si>
  <si>
    <t xml:space="preserve">area_codigo</t>
  </si>
  <si>
    <t xml:space="preserve">area_nome</t>
  </si>
  <si>
    <t xml:space="preserve">00</t>
  </si>
  <si>
    <t xml:space="preserve">Programas básicos</t>
  </si>
  <si>
    <t xml:space="preserve">01</t>
  </si>
  <si>
    <t xml:space="preserve">Educação</t>
  </si>
  <si>
    <t xml:space="preserve">02</t>
  </si>
  <si>
    <t xml:space="preserve">Artes e humanidades</t>
  </si>
  <si>
    <t xml:space="preserve">03</t>
  </si>
  <si>
    <t xml:space="preserve">Ciências sociais, comunicação e informação</t>
  </si>
  <si>
    <t xml:space="preserve">04</t>
  </si>
  <si>
    <t xml:space="preserve">Negócios, administração e direito</t>
  </si>
  <si>
    <t xml:space="preserve">05</t>
  </si>
  <si>
    <t xml:space="preserve">Ciências naturais, matemática e estatística</t>
  </si>
  <si>
    <t xml:space="preserve">06</t>
  </si>
  <si>
    <t xml:space="preserve">Computação e Tecnologias da Informação e Comunicação (TIC)</t>
  </si>
  <si>
    <t xml:space="preserve">07</t>
  </si>
  <si>
    <t xml:space="preserve">Engenharia, produção e construção</t>
  </si>
  <si>
    <t xml:space="preserve">08</t>
  </si>
  <si>
    <t xml:space="preserve">Agricultura, silvicultura, pesca e veterinária</t>
  </si>
  <si>
    <t xml:space="preserve">09</t>
  </si>
  <si>
    <t xml:space="preserve">Saúde e bem-estar</t>
  </si>
  <si>
    <t xml:space="preserve">10</t>
  </si>
  <si>
    <t xml:space="preserve">Serviços</t>
  </si>
  <si>
    <t xml:space="preserve">cbo_codigo</t>
  </si>
  <si>
    <t xml:space="preserve">cbo_nivel</t>
  </si>
  <si>
    <t xml:space="preserve">cbo_descricao</t>
  </si>
  <si>
    <t xml:space="preserve">tipo_vinculo</t>
  </si>
  <si>
    <t xml:space="preserve">confianca</t>
  </si>
  <si>
    <t xml:space="preserve">observacao</t>
  </si>
  <si>
    <t xml:space="preserve">2122</t>
  </si>
  <si>
    <t xml:space="preserve">Família</t>
  </si>
  <si>
    <t xml:space="preserve">Engenheiros em computação</t>
  </si>
  <si>
    <t xml:space="preserve">Principal</t>
  </si>
  <si>
    <t xml:space="preserve">Média</t>
  </si>
  <si>
    <t xml:space="preserve">Pode receber formados de Engenharia (07)</t>
  </si>
  <si>
    <t xml:space="preserve">2123</t>
  </si>
  <si>
    <t xml:space="preserve">Administradores de tecnologia da informação</t>
  </si>
  <si>
    <t xml:space="preserve">2124</t>
  </si>
  <si>
    <t xml:space="preserve">Analistas de tecnologia da informação</t>
  </si>
  <si>
    <t xml:space="preserve">Família central para cursos de TI e tecnólogos Fatec</t>
  </si>
  <si>
    <t xml:space="preserve">3171</t>
  </si>
  <si>
    <t xml:space="preserve">Técnicos de desenvolvimento de sistemas e aplicações</t>
  </si>
  <si>
    <t xml:space="preserve">Verificar</t>
  </si>
  <si>
    <t xml:space="preserve">Grupo 3 (técnico); muitos tecnólogos e estudantes são admitidos aqui</t>
  </si>
  <si>
    <t xml:space="preserve">3172</t>
  </si>
  <si>
    <t xml:space="preserve">Técnicos em operação e monitoração de computadores</t>
  </si>
  <si>
    <t xml:space="preserve">Secundário</t>
  </si>
  <si>
    <t xml:space="preserve">Grupo 3 (técnico)</t>
  </si>
  <si>
    <t xml:space="preserve">2111</t>
  </si>
  <si>
    <t xml:space="preserve">Profissionais da matemática</t>
  </si>
  <si>
    <t xml:space="preserve">2112</t>
  </si>
  <si>
    <t xml:space="preserve">Profissionais de estatística</t>
  </si>
  <si>
    <t xml:space="preserve">Ciência de Dados pode cair em 05 ou 06 conforme CINE do curso</t>
  </si>
  <si>
    <t xml:space="preserve">2131</t>
  </si>
  <si>
    <t xml:space="preserve">Físicos</t>
  </si>
  <si>
    <t xml:space="preserve">2132</t>
  </si>
  <si>
    <t xml:space="preserve">Químicos</t>
  </si>
  <si>
    <t xml:space="preserve">2134</t>
  </si>
  <si>
    <t xml:space="preserve">Geólogos e geofísicos</t>
  </si>
  <si>
    <t xml:space="preserve">2211</t>
  </si>
  <si>
    <t xml:space="preserve">Biólogos e afins</t>
  </si>
  <si>
    <t xml:space="preserve">2140</t>
  </si>
  <si>
    <t xml:space="preserve">Engenheiros ambientais e afins</t>
  </si>
  <si>
    <t xml:space="preserve">2141</t>
  </si>
  <si>
    <t xml:space="preserve">Arquitetos e urbanistas</t>
  </si>
  <si>
    <t xml:space="preserve">2142</t>
  </si>
  <si>
    <t xml:space="preserve">Engenheiros civis e afins</t>
  </si>
  <si>
    <t xml:space="preserve">2143</t>
  </si>
  <si>
    <t xml:space="preserve">Engenheiros eletroeletrônicos e afins</t>
  </si>
  <si>
    <t xml:space="preserve">2144</t>
  </si>
  <si>
    <t xml:space="preserve">Engenheiros mecânicos</t>
  </si>
  <si>
    <t xml:space="preserve">2145</t>
  </si>
  <si>
    <t xml:space="preserve">Engenheiros químicos</t>
  </si>
  <si>
    <t xml:space="preserve">2146</t>
  </si>
  <si>
    <t xml:space="preserve">Engenheiros metalurgistas e de materiais</t>
  </si>
  <si>
    <t xml:space="preserve">2149</t>
  </si>
  <si>
    <t xml:space="preserve">Engenheiros de produção, qualidade e segurança</t>
  </si>
  <si>
    <t xml:space="preserve">Formados em Administração (04) também ocupam</t>
  </si>
  <si>
    <t xml:space="preserve">2221</t>
  </si>
  <si>
    <t xml:space="preserve">Engenheiros agrossilvipecuários</t>
  </si>
  <si>
    <t xml:space="preserve">2233</t>
  </si>
  <si>
    <t xml:space="preserve">Médicos veterinários</t>
  </si>
  <si>
    <t xml:space="preserve">CINE classifica Veterinária em 08</t>
  </si>
  <si>
    <t xml:space="preserve">2212</t>
  </si>
  <si>
    <t xml:space="preserve">Biomédicos</t>
  </si>
  <si>
    <t xml:space="preserve">2232</t>
  </si>
  <si>
    <t xml:space="preserve">Cirurgiões-dentistas</t>
  </si>
  <si>
    <t xml:space="preserve">2234</t>
  </si>
  <si>
    <t xml:space="preserve">Farmacêuticos</t>
  </si>
  <si>
    <t xml:space="preserve">2235</t>
  </si>
  <si>
    <t xml:space="preserve">Enfermeiros e afins</t>
  </si>
  <si>
    <t xml:space="preserve">2236</t>
  </si>
  <si>
    <t xml:space="preserve">Fisioterapeutas</t>
  </si>
  <si>
    <t xml:space="preserve">2237</t>
  </si>
  <si>
    <t xml:space="preserve">Nutricionistas</t>
  </si>
  <si>
    <t xml:space="preserve">2238</t>
  </si>
  <si>
    <t xml:space="preserve">Fonoaudiólogos</t>
  </si>
  <si>
    <t xml:space="preserve">2251</t>
  </si>
  <si>
    <t xml:space="preserve">Médicos clínicos</t>
  </si>
  <si>
    <t xml:space="preserve">2252</t>
  </si>
  <si>
    <t xml:space="preserve">Médicos em especialidades cirúrgicas</t>
  </si>
  <si>
    <t xml:space="preserve">2253</t>
  </si>
  <si>
    <t xml:space="preserve">Médicos em medicina diagnóstica e terapêutica</t>
  </si>
  <si>
    <t xml:space="preserve">2515</t>
  </si>
  <si>
    <t xml:space="preserve">Psicólogos e psicanalistas</t>
  </si>
  <si>
    <t xml:space="preserve">CINE coloca Psicologia em 03; confirmar</t>
  </si>
  <si>
    <t xml:space="preserve">2516</t>
  </si>
  <si>
    <t xml:space="preserve">Assistentes sociais e economistas domésticos</t>
  </si>
  <si>
    <t xml:space="preserve">CINE coloca Serviço Social em 09 (bem-estar); confirmar</t>
  </si>
  <si>
    <t xml:space="preserve">2241</t>
  </si>
  <si>
    <t xml:space="preserve">Profissionais da educação física</t>
  </si>
  <si>
    <t xml:space="preserve">Educação Física licenciatura cai em 01</t>
  </si>
  <si>
    <t xml:space="preserve">23</t>
  </si>
  <si>
    <t xml:space="preserve">Subgrupo principal</t>
  </si>
  <si>
    <t xml:space="preserve">Profissionais do ensino (todas as famílias 23xx)</t>
  </si>
  <si>
    <t xml:space="preserve">Alta</t>
  </si>
  <si>
    <t xml:space="preserve">Mapear no nível de 2 dígitos</t>
  </si>
  <si>
    <t xml:space="preserve">24</t>
  </si>
  <si>
    <t xml:space="preserve">Profissionais das ciências jurídicas (24xx)</t>
  </si>
  <si>
    <t xml:space="preserve">Direito está em 04 na CINE</t>
  </si>
  <si>
    <t xml:space="preserve">2521</t>
  </si>
  <si>
    <t xml:space="preserve">Administradores</t>
  </si>
  <si>
    <t xml:space="preserve">2522</t>
  </si>
  <si>
    <t xml:space="preserve">Contadores e afins</t>
  </si>
  <si>
    <t xml:space="preserve">2523</t>
  </si>
  <si>
    <t xml:space="preserve">Secretárias(os) executivas(os) e afins</t>
  </si>
  <si>
    <t xml:space="preserve">2524</t>
  </si>
  <si>
    <t xml:space="preserve">Profissionais de recursos humanos</t>
  </si>
  <si>
    <t xml:space="preserve">2525</t>
  </si>
  <si>
    <t xml:space="preserve">Profissionais de administração econômico-financeira</t>
  </si>
  <si>
    <t xml:space="preserve">2531</t>
  </si>
  <si>
    <t xml:space="preserve">Profissionais de relações públicas, publicidade, mercado e negócios</t>
  </si>
  <si>
    <t xml:space="preserve">Pode receber formados de Comunicação (03)</t>
  </si>
  <si>
    <t xml:space="preserve">1</t>
  </si>
  <si>
    <t xml:space="preserve">Grande grupo</t>
  </si>
  <si>
    <t xml:space="preserve">Dirigentes e gerentes (1xxx), quando admissão exige superior</t>
  </si>
  <si>
    <t xml:space="preserve">Usar só com filtro de escolaridade superior</t>
  </si>
  <si>
    <t xml:space="preserve">2511</t>
  </si>
  <si>
    <t xml:space="preserve">Antropólogos, arqueólogos e sociólogos</t>
  </si>
  <si>
    <t xml:space="preserve">2512</t>
  </si>
  <si>
    <t xml:space="preserve">Economistas</t>
  </si>
  <si>
    <t xml:space="preserve">CINE coloca Economia em 03</t>
  </si>
  <si>
    <t xml:space="preserve">2611</t>
  </si>
  <si>
    <t xml:space="preserve">Profissionais do jornalismo</t>
  </si>
  <si>
    <t xml:space="preserve">2612</t>
  </si>
  <si>
    <t xml:space="preserve">Profissionais da informação (bibliotecários)</t>
  </si>
  <si>
    <t xml:space="preserve">2613</t>
  </si>
  <si>
    <t xml:space="preserve">Arquivistas e museólogos</t>
  </si>
  <si>
    <t xml:space="preserve">2614</t>
  </si>
  <si>
    <t xml:space="preserve">Filólogos, tradutores e intérpretes</t>
  </si>
  <si>
    <t xml:space="preserve">2615</t>
  </si>
  <si>
    <t xml:space="preserve">Escritores e redatores</t>
  </si>
  <si>
    <t xml:space="preserve">262</t>
  </si>
  <si>
    <t xml:space="preserve">Subgrupo</t>
  </si>
  <si>
    <t xml:space="preserve">Profissionais de espetáculos e das artes (262x)</t>
  </si>
  <si>
    <t xml:space="preserve">Design pode cair em 02</t>
  </si>
  <si>
    <t xml:space="preserve">2631</t>
  </si>
  <si>
    <t xml:space="preserve">Ministros de culto, missionários e afins</t>
  </si>
  <si>
    <t xml:space="preserve">Teologia em 02</t>
  </si>
  <si>
    <t xml:space="preserve">codigo_graudeinstrucao</t>
  </si>
  <si>
    <t xml:space="preserve">descricao</t>
  </si>
  <si>
    <t xml:space="preserve">grupo_analise</t>
  </si>
  <si>
    <t xml:space="preserve">Analfabeto</t>
  </si>
  <si>
    <t xml:space="preserve">Fundamental ou menos</t>
  </si>
  <si>
    <t xml:space="preserve">2</t>
  </si>
  <si>
    <t xml:space="preserve">Até 5º ano incompleto</t>
  </si>
  <si>
    <t xml:space="preserve">3</t>
  </si>
  <si>
    <t xml:space="preserve">5º ano completo</t>
  </si>
  <si>
    <t xml:space="preserve">4</t>
  </si>
  <si>
    <t xml:space="preserve">6º ao 9º ano incompleto</t>
  </si>
  <si>
    <t xml:space="preserve">5</t>
  </si>
  <si>
    <t xml:space="preserve">Fundamental completo</t>
  </si>
  <si>
    <t xml:space="preserve">6</t>
  </si>
  <si>
    <t xml:space="preserve">Médio incompleto</t>
  </si>
  <si>
    <t xml:space="preserve">7</t>
  </si>
  <si>
    <t xml:space="preserve">Médio completo</t>
  </si>
  <si>
    <t xml:space="preserve">Médio</t>
  </si>
  <si>
    <t xml:space="preserve">8</t>
  </si>
  <si>
    <t xml:space="preserve">Superior incompleto</t>
  </si>
  <si>
    <t xml:space="preserve">9</t>
  </si>
  <si>
    <t xml:space="preserve">Superior completo</t>
  </si>
  <si>
    <t xml:space="preserve">Superior</t>
  </si>
  <si>
    <t xml:space="preserve">Mestrado</t>
  </si>
  <si>
    <t xml:space="preserve">11</t>
  </si>
  <si>
    <t xml:space="preserve">Doutorado</t>
  </si>
  <si>
    <t xml:space="preserve">80</t>
  </si>
  <si>
    <t xml:space="preserve">Pós-graduação completa</t>
  </si>
  <si>
    <t xml:space="preserve">99</t>
  </si>
  <si>
    <t xml:space="preserve">Não identificado</t>
  </si>
  <si>
    <t xml:space="preserve">ocupacoes_mapeadas</t>
  </si>
  <si>
    <t xml:space="preserve">principal</t>
  </si>
  <si>
    <t xml:space="preserve">a_verificar</t>
  </si>
  <si>
    <t xml:space="preserve">Total</t>
  </si>
  <si>
    <t xml:space="preserve">Área 00 (Programas básicos) não tem ocupação associada; zero é esperado.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</si>
</sst>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2462"/>
        <bgColor rgb="FF33339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B246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4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CINE" displayName="tCINE" ref="A1:B12" headerRowCount="1" totalsRowCount="0" totalsRowShown="0">
  <autoFilter ref="A1:B12"/>
  <tableColumns count="2">
    <tableColumn id="1" name="area_codigo"/>
    <tableColumn id="2" name="area_nome"/>
  </tableColumns>
</table>
</file>

<file path=xl/tables/table2.xml><?xml version="1.0" encoding="utf-8"?>
<table xmlns="http://schemas.openxmlformats.org/spreadsheetml/2006/main" id="2" name="tDePara" displayName="tDePara" ref="A1:H53" headerRowCount="1" totalsRowCount="0" totalsRowShown="0">
  <autoFilter ref="A1:H53"/>
  <tableColumns count="8">
    <tableColumn id="1" name="cbo_codigo"/>
    <tableColumn id="2" name="cbo_nivel"/>
    <tableColumn id="3" name="cbo_descricao"/>
    <tableColumn id="4" name="area_codigo"/>
    <tableColumn id="5" name="area_nome"/>
    <tableColumn id="6" name="tipo_vinculo"/>
    <tableColumn id="7" name="confianca"/>
    <tableColumn id="8" name="observacao"/>
  </tableColumns>
</table>
</file>

<file path=xl/tables/table3.xml><?xml version="1.0" encoding="utf-8"?>
<table xmlns="http://schemas.openxmlformats.org/spreadsheetml/2006/main" id="3" name="tEscolaridade" displayName="tEscolaridade" ref="A1:C14" headerRowCount="1" totalsRowCount="0" totalsRowShown="0">
  <autoFilter ref="A1:C14"/>
  <tableColumns count="3">
    <tableColumn id="1" name="codigo_graudeinstrucao"/>
    <tableColumn id="2" name="descricao"/>
    <tableColumn id="3" name="grupo_analis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6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26.8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6.85" hidden="false" customHeight="false" outlineLevel="0" collapsed="false">
      <c r="A18" s="2" t="s">
        <v>13</v>
      </c>
    </row>
    <row r="19" customFormat="false" ht="26.85" hidden="false" customHeight="false" outlineLevel="0" collapsed="false">
      <c r="A19" s="2" t="s">
        <v>14</v>
      </c>
    </row>
    <row r="20" customFormat="false" ht="26.8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2"/>
  </cols>
  <sheetData>
    <row r="1" customFormat="false" ht="15" hidden="false" customHeight="false" outlineLevel="0" collapsed="false">
      <c r="A1" s="4" t="s">
        <v>16</v>
      </c>
      <c r="B1" s="4" t="s">
        <v>17</v>
      </c>
    </row>
    <row r="2" customFormat="false" ht="15" hidden="false" customHeight="false" outlineLevel="0" collapsed="false">
      <c r="A2" s="5" t="s">
        <v>18</v>
      </c>
      <c r="B2" s="6" t="s">
        <v>19</v>
      </c>
    </row>
    <row r="3" customFormat="false" ht="15" hidden="false" customHeight="false" outlineLevel="0" collapsed="false">
      <c r="A3" s="5" t="s">
        <v>20</v>
      </c>
      <c r="B3" s="6" t="s">
        <v>21</v>
      </c>
    </row>
    <row r="4" customFormat="false" ht="15" hidden="false" customHeight="false" outlineLevel="0" collapsed="false">
      <c r="A4" s="5" t="s">
        <v>22</v>
      </c>
      <c r="B4" s="6" t="s">
        <v>23</v>
      </c>
    </row>
    <row r="5" customFormat="false" ht="15" hidden="false" customHeight="false" outlineLevel="0" collapsed="false">
      <c r="A5" s="5" t="s">
        <v>24</v>
      </c>
      <c r="B5" s="6" t="s">
        <v>25</v>
      </c>
    </row>
    <row r="6" customFormat="false" ht="15" hidden="false" customHeight="false" outlineLevel="0" collapsed="false">
      <c r="A6" s="5" t="s">
        <v>26</v>
      </c>
      <c r="B6" s="6" t="s">
        <v>27</v>
      </c>
    </row>
    <row r="7" customFormat="false" ht="15" hidden="false" customHeight="false" outlineLevel="0" collapsed="false">
      <c r="A7" s="5" t="s">
        <v>28</v>
      </c>
      <c r="B7" s="6" t="s">
        <v>29</v>
      </c>
    </row>
    <row r="8" customFormat="false" ht="15" hidden="false" customHeight="false" outlineLevel="0" collapsed="false">
      <c r="A8" s="5" t="s">
        <v>30</v>
      </c>
      <c r="B8" s="6" t="s">
        <v>31</v>
      </c>
    </row>
    <row r="9" customFormat="false" ht="15" hidden="false" customHeight="false" outlineLevel="0" collapsed="false">
      <c r="A9" s="5" t="s">
        <v>32</v>
      </c>
      <c r="B9" s="6" t="s">
        <v>33</v>
      </c>
    </row>
    <row r="10" customFormat="false" ht="15" hidden="false" customHeight="false" outlineLevel="0" collapsed="false">
      <c r="A10" s="5" t="s">
        <v>34</v>
      </c>
      <c r="B10" s="6" t="s">
        <v>35</v>
      </c>
    </row>
    <row r="11" customFormat="false" ht="15" hidden="false" customHeight="false" outlineLevel="0" collapsed="false">
      <c r="A11" s="5" t="s">
        <v>36</v>
      </c>
      <c r="B11" s="6" t="s">
        <v>37</v>
      </c>
    </row>
    <row r="12" customFormat="false" ht="15" hidden="false" customHeight="false" outlineLevel="0" collapsed="false">
      <c r="A12" s="5" t="s">
        <v>38</v>
      </c>
      <c r="B12" s="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52"/>
  </cols>
  <sheetData>
    <row r="1" customFormat="false" ht="15" hidden="false" customHeight="false" outlineLevel="0" collapsed="false">
      <c r="A1" s="7" t="s">
        <v>40</v>
      </c>
      <c r="B1" s="7" t="s">
        <v>41</v>
      </c>
      <c r="C1" s="7" t="s">
        <v>42</v>
      </c>
      <c r="D1" s="7" t="s">
        <v>16</v>
      </c>
      <c r="E1" s="7" t="s">
        <v>17</v>
      </c>
      <c r="F1" s="7" t="s">
        <v>43</v>
      </c>
      <c r="G1" s="7" t="s">
        <v>44</v>
      </c>
      <c r="H1" s="7" t="s">
        <v>45</v>
      </c>
    </row>
    <row r="2" customFormat="false" ht="26.85" hidden="false" customHeight="false" outlineLevel="0" collapsed="false">
      <c r="A2" s="8" t="s">
        <v>46</v>
      </c>
      <c r="B2" s="2" t="s">
        <v>47</v>
      </c>
      <c r="C2" s="2" t="s">
        <v>48</v>
      </c>
      <c r="D2" s="8" t="s">
        <v>30</v>
      </c>
      <c r="E2" s="2" t="str">
        <f aca="false">IFERROR(INDEX(CINE_Areas!$B$2:$B$12,MATCH(D2,CINE_Areas!$A$2:$A$12,0)),"Código inválido")</f>
        <v>Computação e Tecnologias da Informação e Comunicação (TIC)</v>
      </c>
      <c r="F2" s="9" t="s">
        <v>49</v>
      </c>
      <c r="G2" s="9" t="s">
        <v>50</v>
      </c>
      <c r="H2" s="2" t="s">
        <v>51</v>
      </c>
    </row>
    <row r="3" customFormat="false" ht="26.85" hidden="false" customHeight="false" outlineLevel="0" collapsed="false">
      <c r="A3" s="8" t="s">
        <v>52</v>
      </c>
      <c r="B3" s="2" t="s">
        <v>47</v>
      </c>
      <c r="C3" s="2" t="s">
        <v>53</v>
      </c>
      <c r="D3" s="8" t="s">
        <v>30</v>
      </c>
      <c r="E3" s="2" t="str">
        <f aca="false">IFERROR(INDEX(CINE_Areas!$B$2:$B$12,MATCH(D3,CINE_Areas!$A$2:$A$12,0)),"Código inválido")</f>
        <v>Computação e Tecnologias da Informação e Comunicação (TIC)</v>
      </c>
      <c r="F3" s="9" t="s">
        <v>49</v>
      </c>
      <c r="G3" s="9" t="s">
        <v>50</v>
      </c>
      <c r="H3" s="2"/>
    </row>
    <row r="4" customFormat="false" ht="26.85" hidden="false" customHeight="false" outlineLevel="0" collapsed="false">
      <c r="A4" s="8" t="s">
        <v>54</v>
      </c>
      <c r="B4" s="2" t="s">
        <v>47</v>
      </c>
      <c r="C4" s="2" t="s">
        <v>55</v>
      </c>
      <c r="D4" s="8" t="s">
        <v>30</v>
      </c>
      <c r="E4" s="2" t="str">
        <f aca="false">IFERROR(INDEX(CINE_Areas!$B$2:$B$12,MATCH(D4,CINE_Areas!$A$2:$A$12,0)),"Código inválido")</f>
        <v>Computação e Tecnologias da Informação e Comunicação (TIC)</v>
      </c>
      <c r="F4" s="9" t="s">
        <v>49</v>
      </c>
      <c r="G4" s="9" t="s">
        <v>50</v>
      </c>
      <c r="H4" s="2" t="s">
        <v>56</v>
      </c>
    </row>
    <row r="5" customFormat="false" ht="26.85" hidden="false" customHeight="false" outlineLevel="0" collapsed="false">
      <c r="A5" s="8" t="s">
        <v>57</v>
      </c>
      <c r="B5" s="2" t="s">
        <v>47</v>
      </c>
      <c r="C5" s="2" t="s">
        <v>58</v>
      </c>
      <c r="D5" s="8" t="s">
        <v>30</v>
      </c>
      <c r="E5" s="2" t="str">
        <f aca="false">IFERROR(INDEX(CINE_Areas!$B$2:$B$12,MATCH(D5,CINE_Areas!$A$2:$A$12,0)),"Código inválido")</f>
        <v>Computação e Tecnologias da Informação e Comunicação (TIC)</v>
      </c>
      <c r="F5" s="9" t="s">
        <v>49</v>
      </c>
      <c r="G5" s="9" t="s">
        <v>59</v>
      </c>
      <c r="H5" s="2" t="s">
        <v>60</v>
      </c>
    </row>
    <row r="6" customFormat="false" ht="26.85" hidden="false" customHeight="false" outlineLevel="0" collapsed="false">
      <c r="A6" s="8" t="s">
        <v>61</v>
      </c>
      <c r="B6" s="2" t="s">
        <v>47</v>
      </c>
      <c r="C6" s="2" t="s">
        <v>62</v>
      </c>
      <c r="D6" s="8" t="s">
        <v>30</v>
      </c>
      <c r="E6" s="2" t="str">
        <f aca="false">IFERROR(INDEX(CINE_Areas!$B$2:$B$12,MATCH(D6,CINE_Areas!$A$2:$A$12,0)),"Código inválido")</f>
        <v>Computação e Tecnologias da Informação e Comunicação (TIC)</v>
      </c>
      <c r="F6" s="9" t="s">
        <v>63</v>
      </c>
      <c r="G6" s="9" t="s">
        <v>59</v>
      </c>
      <c r="H6" s="2" t="s">
        <v>64</v>
      </c>
    </row>
    <row r="7" customFormat="false" ht="15" hidden="false" customHeight="false" outlineLevel="0" collapsed="false">
      <c r="A7" s="8" t="s">
        <v>65</v>
      </c>
      <c r="B7" s="2" t="s">
        <v>47</v>
      </c>
      <c r="C7" s="2" t="s">
        <v>66</v>
      </c>
      <c r="D7" s="8" t="s">
        <v>28</v>
      </c>
      <c r="E7" s="2" t="str">
        <f aca="false">IFERROR(INDEX(CINE_Areas!$B$2:$B$12,MATCH(D7,CINE_Areas!$A$2:$A$12,0)),"Código inválido")</f>
        <v>Ciências naturais, matemática e estatística</v>
      </c>
      <c r="F7" s="9" t="s">
        <v>49</v>
      </c>
      <c r="G7" s="9" t="s">
        <v>50</v>
      </c>
      <c r="H7" s="2"/>
    </row>
    <row r="8" customFormat="false" ht="26.85" hidden="false" customHeight="false" outlineLevel="0" collapsed="false">
      <c r="A8" s="8" t="s">
        <v>67</v>
      </c>
      <c r="B8" s="2" t="s">
        <v>47</v>
      </c>
      <c r="C8" s="2" t="s">
        <v>68</v>
      </c>
      <c r="D8" s="8" t="s">
        <v>28</v>
      </c>
      <c r="E8" s="2" t="str">
        <f aca="false">IFERROR(INDEX(CINE_Areas!$B$2:$B$12,MATCH(D8,CINE_Areas!$A$2:$A$12,0)),"Código inválido")</f>
        <v>Ciências naturais, matemática e estatística</v>
      </c>
      <c r="F8" s="9" t="s">
        <v>49</v>
      </c>
      <c r="G8" s="9" t="s">
        <v>50</v>
      </c>
      <c r="H8" s="2" t="s">
        <v>69</v>
      </c>
    </row>
    <row r="9" customFormat="false" ht="15" hidden="false" customHeight="false" outlineLevel="0" collapsed="false">
      <c r="A9" s="8" t="s">
        <v>70</v>
      </c>
      <c r="B9" s="2" t="s">
        <v>47</v>
      </c>
      <c r="C9" s="2" t="s">
        <v>71</v>
      </c>
      <c r="D9" s="8" t="s">
        <v>28</v>
      </c>
      <c r="E9" s="2" t="str">
        <f aca="false">IFERROR(INDEX(CINE_Areas!$B$2:$B$12,MATCH(D9,CINE_Areas!$A$2:$A$12,0)),"Código inválido")</f>
        <v>Ciências naturais, matemática e estatística</v>
      </c>
      <c r="F9" s="9" t="s">
        <v>49</v>
      </c>
      <c r="G9" s="9" t="s">
        <v>50</v>
      </c>
      <c r="H9" s="2"/>
    </row>
    <row r="10" customFormat="false" ht="15" hidden="false" customHeight="false" outlineLevel="0" collapsed="false">
      <c r="A10" s="8" t="s">
        <v>72</v>
      </c>
      <c r="B10" s="2" t="s">
        <v>47</v>
      </c>
      <c r="C10" s="2" t="s">
        <v>73</v>
      </c>
      <c r="D10" s="8" t="s">
        <v>28</v>
      </c>
      <c r="E10" s="2" t="str">
        <f aca="false">IFERROR(INDEX(CINE_Areas!$B$2:$B$12,MATCH(D10,CINE_Areas!$A$2:$A$12,0)),"Código inválido")</f>
        <v>Ciências naturais, matemática e estatística</v>
      </c>
      <c r="F10" s="9" t="s">
        <v>49</v>
      </c>
      <c r="G10" s="9" t="s">
        <v>50</v>
      </c>
      <c r="H10" s="2"/>
    </row>
    <row r="11" customFormat="false" ht="15" hidden="false" customHeight="false" outlineLevel="0" collapsed="false">
      <c r="A11" s="8" t="s">
        <v>74</v>
      </c>
      <c r="B11" s="2" t="s">
        <v>47</v>
      </c>
      <c r="C11" s="2" t="s">
        <v>75</v>
      </c>
      <c r="D11" s="8" t="s">
        <v>28</v>
      </c>
      <c r="E11" s="2" t="str">
        <f aca="false">IFERROR(INDEX(CINE_Areas!$B$2:$B$12,MATCH(D11,CINE_Areas!$A$2:$A$12,0)),"Código inválido")</f>
        <v>Ciências naturais, matemática e estatística</v>
      </c>
      <c r="F11" s="9" t="s">
        <v>49</v>
      </c>
      <c r="G11" s="9" t="s">
        <v>59</v>
      </c>
      <c r="H11" s="2"/>
    </row>
    <row r="12" customFormat="false" ht="15" hidden="false" customHeight="false" outlineLevel="0" collapsed="false">
      <c r="A12" s="8" t="s">
        <v>76</v>
      </c>
      <c r="B12" s="2" t="s">
        <v>47</v>
      </c>
      <c r="C12" s="2" t="s">
        <v>77</v>
      </c>
      <c r="D12" s="8" t="s">
        <v>28</v>
      </c>
      <c r="E12" s="2" t="str">
        <f aca="false">IFERROR(INDEX(CINE_Areas!$B$2:$B$12,MATCH(D12,CINE_Areas!$A$2:$A$12,0)),"Código inválido")</f>
        <v>Ciências naturais, matemática e estatística</v>
      </c>
      <c r="F12" s="9" t="s">
        <v>49</v>
      </c>
      <c r="G12" s="9" t="s">
        <v>50</v>
      </c>
      <c r="H12" s="2"/>
    </row>
    <row r="13" customFormat="false" ht="15" hidden="false" customHeight="false" outlineLevel="0" collapsed="false">
      <c r="A13" s="8" t="s">
        <v>78</v>
      </c>
      <c r="B13" s="2" t="s">
        <v>47</v>
      </c>
      <c r="C13" s="2" t="s">
        <v>79</v>
      </c>
      <c r="D13" s="8" t="s">
        <v>32</v>
      </c>
      <c r="E13" s="2" t="str">
        <f aca="false">IFERROR(INDEX(CINE_Areas!$B$2:$B$12,MATCH(D13,CINE_Areas!$A$2:$A$12,0)),"Código inválido")</f>
        <v>Engenharia, produção e construção</v>
      </c>
      <c r="F13" s="9" t="s">
        <v>49</v>
      </c>
      <c r="G13" s="9" t="s">
        <v>59</v>
      </c>
      <c r="H13" s="2"/>
    </row>
    <row r="14" customFormat="false" ht="15" hidden="false" customHeight="false" outlineLevel="0" collapsed="false">
      <c r="A14" s="8" t="s">
        <v>80</v>
      </c>
      <c r="B14" s="2" t="s">
        <v>47</v>
      </c>
      <c r="C14" s="2" t="s">
        <v>81</v>
      </c>
      <c r="D14" s="8" t="s">
        <v>32</v>
      </c>
      <c r="E14" s="2" t="str">
        <f aca="false">IFERROR(INDEX(CINE_Areas!$B$2:$B$12,MATCH(D14,CINE_Areas!$A$2:$A$12,0)),"Código inválido")</f>
        <v>Engenharia, produção e construção</v>
      </c>
      <c r="F14" s="9" t="s">
        <v>49</v>
      </c>
      <c r="G14" s="9" t="s">
        <v>50</v>
      </c>
      <c r="H14" s="2"/>
    </row>
    <row r="15" customFormat="false" ht="15" hidden="false" customHeight="false" outlineLevel="0" collapsed="false">
      <c r="A15" s="8" t="s">
        <v>82</v>
      </c>
      <c r="B15" s="2" t="s">
        <v>47</v>
      </c>
      <c r="C15" s="2" t="s">
        <v>83</v>
      </c>
      <c r="D15" s="8" t="s">
        <v>32</v>
      </c>
      <c r="E15" s="2" t="str">
        <f aca="false">IFERROR(INDEX(CINE_Areas!$B$2:$B$12,MATCH(D15,CINE_Areas!$A$2:$A$12,0)),"Código inválido")</f>
        <v>Engenharia, produção e construção</v>
      </c>
      <c r="F15" s="9" t="s">
        <v>49</v>
      </c>
      <c r="G15" s="9" t="s">
        <v>50</v>
      </c>
      <c r="H15" s="2"/>
    </row>
    <row r="16" customFormat="false" ht="15" hidden="false" customHeight="false" outlineLevel="0" collapsed="false">
      <c r="A16" s="8" t="s">
        <v>84</v>
      </c>
      <c r="B16" s="2" t="s">
        <v>47</v>
      </c>
      <c r="C16" s="2" t="s">
        <v>85</v>
      </c>
      <c r="D16" s="8" t="s">
        <v>32</v>
      </c>
      <c r="E16" s="2" t="str">
        <f aca="false">IFERROR(INDEX(CINE_Areas!$B$2:$B$12,MATCH(D16,CINE_Areas!$A$2:$A$12,0)),"Código inválido")</f>
        <v>Engenharia, produção e construção</v>
      </c>
      <c r="F16" s="9" t="s">
        <v>49</v>
      </c>
      <c r="G16" s="9" t="s">
        <v>50</v>
      </c>
      <c r="H16" s="2"/>
    </row>
    <row r="17" customFormat="false" ht="15" hidden="false" customHeight="false" outlineLevel="0" collapsed="false">
      <c r="A17" s="8" t="s">
        <v>86</v>
      </c>
      <c r="B17" s="2" t="s">
        <v>47</v>
      </c>
      <c r="C17" s="2" t="s">
        <v>87</v>
      </c>
      <c r="D17" s="8" t="s">
        <v>32</v>
      </c>
      <c r="E17" s="2" t="str">
        <f aca="false">IFERROR(INDEX(CINE_Areas!$B$2:$B$12,MATCH(D17,CINE_Areas!$A$2:$A$12,0)),"Código inválido")</f>
        <v>Engenharia, produção e construção</v>
      </c>
      <c r="F17" s="9" t="s">
        <v>49</v>
      </c>
      <c r="G17" s="9" t="s">
        <v>50</v>
      </c>
      <c r="H17" s="2"/>
    </row>
    <row r="18" customFormat="false" ht="15" hidden="false" customHeight="false" outlineLevel="0" collapsed="false">
      <c r="A18" s="8" t="s">
        <v>88</v>
      </c>
      <c r="B18" s="2" t="s">
        <v>47</v>
      </c>
      <c r="C18" s="2" t="s">
        <v>89</v>
      </c>
      <c r="D18" s="8" t="s">
        <v>32</v>
      </c>
      <c r="E18" s="2" t="str">
        <f aca="false">IFERROR(INDEX(CINE_Areas!$B$2:$B$12,MATCH(D18,CINE_Areas!$A$2:$A$12,0)),"Código inválido")</f>
        <v>Engenharia, produção e construção</v>
      </c>
      <c r="F18" s="9" t="s">
        <v>49</v>
      </c>
      <c r="G18" s="9" t="s">
        <v>50</v>
      </c>
      <c r="H18" s="2"/>
    </row>
    <row r="19" customFormat="false" ht="15" hidden="false" customHeight="false" outlineLevel="0" collapsed="false">
      <c r="A19" s="8" t="s">
        <v>90</v>
      </c>
      <c r="B19" s="2" t="s">
        <v>47</v>
      </c>
      <c r="C19" s="2" t="s">
        <v>91</v>
      </c>
      <c r="D19" s="8" t="s">
        <v>32</v>
      </c>
      <c r="E19" s="2" t="str">
        <f aca="false">IFERROR(INDEX(CINE_Areas!$B$2:$B$12,MATCH(D19,CINE_Areas!$A$2:$A$12,0)),"Código inválido")</f>
        <v>Engenharia, produção e construção</v>
      </c>
      <c r="F19" s="9" t="s">
        <v>49</v>
      </c>
      <c r="G19" s="9" t="s">
        <v>59</v>
      </c>
      <c r="H19" s="2"/>
    </row>
    <row r="20" customFormat="false" ht="15" hidden="false" customHeight="false" outlineLevel="0" collapsed="false">
      <c r="A20" s="8" t="s">
        <v>92</v>
      </c>
      <c r="B20" s="2" t="s">
        <v>47</v>
      </c>
      <c r="C20" s="2" t="s">
        <v>93</v>
      </c>
      <c r="D20" s="8" t="s">
        <v>32</v>
      </c>
      <c r="E20" s="2" t="str">
        <f aca="false">IFERROR(INDEX(CINE_Areas!$B$2:$B$12,MATCH(D20,CINE_Areas!$A$2:$A$12,0)),"Código inválido")</f>
        <v>Engenharia, produção e construção</v>
      </c>
      <c r="F20" s="9" t="s">
        <v>49</v>
      </c>
      <c r="G20" s="9" t="s">
        <v>50</v>
      </c>
      <c r="H20" s="2" t="s">
        <v>94</v>
      </c>
    </row>
    <row r="21" customFormat="false" ht="15" hidden="false" customHeight="false" outlineLevel="0" collapsed="false">
      <c r="A21" s="8" t="s">
        <v>95</v>
      </c>
      <c r="B21" s="2" t="s">
        <v>47</v>
      </c>
      <c r="C21" s="2" t="s">
        <v>96</v>
      </c>
      <c r="D21" s="8" t="s">
        <v>34</v>
      </c>
      <c r="E21" s="2" t="str">
        <f aca="false">IFERROR(INDEX(CINE_Areas!$B$2:$B$12,MATCH(D21,CINE_Areas!$A$2:$A$12,0)),"Código inválido")</f>
        <v>Agricultura, silvicultura, pesca e veterinária</v>
      </c>
      <c r="F21" s="9" t="s">
        <v>49</v>
      </c>
      <c r="G21" s="9" t="s">
        <v>50</v>
      </c>
      <c r="H21" s="2"/>
    </row>
    <row r="22" customFormat="false" ht="15" hidden="false" customHeight="false" outlineLevel="0" collapsed="false">
      <c r="A22" s="8" t="s">
        <v>97</v>
      </c>
      <c r="B22" s="2" t="s">
        <v>47</v>
      </c>
      <c r="C22" s="2" t="s">
        <v>98</v>
      </c>
      <c r="D22" s="8" t="s">
        <v>34</v>
      </c>
      <c r="E22" s="2" t="str">
        <f aca="false">IFERROR(INDEX(CINE_Areas!$B$2:$B$12,MATCH(D22,CINE_Areas!$A$2:$A$12,0)),"Código inválido")</f>
        <v>Agricultura, silvicultura, pesca e veterinária</v>
      </c>
      <c r="F22" s="9" t="s">
        <v>49</v>
      </c>
      <c r="G22" s="9" t="s">
        <v>59</v>
      </c>
      <c r="H22" s="2" t="s">
        <v>99</v>
      </c>
    </row>
    <row r="23" customFormat="false" ht="15" hidden="false" customHeight="false" outlineLevel="0" collapsed="false">
      <c r="A23" s="8" t="s">
        <v>100</v>
      </c>
      <c r="B23" s="2" t="s">
        <v>47</v>
      </c>
      <c r="C23" s="2" t="s">
        <v>101</v>
      </c>
      <c r="D23" s="8" t="s">
        <v>36</v>
      </c>
      <c r="E23" s="2" t="str">
        <f aca="false">IFERROR(INDEX(CINE_Areas!$B$2:$B$12,MATCH(D23,CINE_Areas!$A$2:$A$12,0)),"Código inválido")</f>
        <v>Saúde e bem-estar</v>
      </c>
      <c r="F23" s="9" t="s">
        <v>49</v>
      </c>
      <c r="G23" s="9" t="s">
        <v>59</v>
      </c>
      <c r="H23" s="2"/>
    </row>
    <row r="24" customFormat="false" ht="15" hidden="false" customHeight="false" outlineLevel="0" collapsed="false">
      <c r="A24" s="8" t="s">
        <v>102</v>
      </c>
      <c r="B24" s="2" t="s">
        <v>47</v>
      </c>
      <c r="C24" s="2" t="s">
        <v>103</v>
      </c>
      <c r="D24" s="8" t="s">
        <v>36</v>
      </c>
      <c r="E24" s="2" t="str">
        <f aca="false">IFERROR(INDEX(CINE_Areas!$B$2:$B$12,MATCH(D24,CINE_Areas!$A$2:$A$12,0)),"Código inválido")</f>
        <v>Saúde e bem-estar</v>
      </c>
      <c r="F24" s="9" t="s">
        <v>49</v>
      </c>
      <c r="G24" s="9" t="s">
        <v>50</v>
      </c>
      <c r="H24" s="2"/>
    </row>
    <row r="25" customFormat="false" ht="15" hidden="false" customHeight="false" outlineLevel="0" collapsed="false">
      <c r="A25" s="8" t="s">
        <v>104</v>
      </c>
      <c r="B25" s="2" t="s">
        <v>47</v>
      </c>
      <c r="C25" s="2" t="s">
        <v>105</v>
      </c>
      <c r="D25" s="8" t="s">
        <v>36</v>
      </c>
      <c r="E25" s="2" t="str">
        <f aca="false">IFERROR(INDEX(CINE_Areas!$B$2:$B$12,MATCH(D25,CINE_Areas!$A$2:$A$12,0)),"Código inválido")</f>
        <v>Saúde e bem-estar</v>
      </c>
      <c r="F25" s="9" t="s">
        <v>49</v>
      </c>
      <c r="G25" s="9" t="s">
        <v>50</v>
      </c>
      <c r="H25" s="2"/>
    </row>
    <row r="26" customFormat="false" ht="15" hidden="false" customHeight="false" outlineLevel="0" collapsed="false">
      <c r="A26" s="8" t="s">
        <v>106</v>
      </c>
      <c r="B26" s="2" t="s">
        <v>47</v>
      </c>
      <c r="C26" s="2" t="s">
        <v>107</v>
      </c>
      <c r="D26" s="8" t="s">
        <v>36</v>
      </c>
      <c r="E26" s="2" t="str">
        <f aca="false">IFERROR(INDEX(CINE_Areas!$B$2:$B$12,MATCH(D26,CINE_Areas!$A$2:$A$12,0)),"Código inválido")</f>
        <v>Saúde e bem-estar</v>
      </c>
      <c r="F26" s="9" t="s">
        <v>49</v>
      </c>
      <c r="G26" s="9" t="s">
        <v>50</v>
      </c>
      <c r="H26" s="2"/>
    </row>
    <row r="27" customFormat="false" ht="15" hidden="false" customHeight="false" outlineLevel="0" collapsed="false">
      <c r="A27" s="8" t="s">
        <v>108</v>
      </c>
      <c r="B27" s="2" t="s">
        <v>47</v>
      </c>
      <c r="C27" s="2" t="s">
        <v>109</v>
      </c>
      <c r="D27" s="8" t="s">
        <v>36</v>
      </c>
      <c r="E27" s="2" t="str">
        <f aca="false">IFERROR(INDEX(CINE_Areas!$B$2:$B$12,MATCH(D27,CINE_Areas!$A$2:$A$12,0)),"Código inválido")</f>
        <v>Saúde e bem-estar</v>
      </c>
      <c r="F27" s="9" t="s">
        <v>49</v>
      </c>
      <c r="G27" s="9" t="s">
        <v>50</v>
      </c>
      <c r="H27" s="2"/>
    </row>
    <row r="28" customFormat="false" ht="15" hidden="false" customHeight="false" outlineLevel="0" collapsed="false">
      <c r="A28" s="8" t="s">
        <v>110</v>
      </c>
      <c r="B28" s="2" t="s">
        <v>47</v>
      </c>
      <c r="C28" s="2" t="s">
        <v>111</v>
      </c>
      <c r="D28" s="8" t="s">
        <v>36</v>
      </c>
      <c r="E28" s="2" t="str">
        <f aca="false">IFERROR(INDEX(CINE_Areas!$B$2:$B$12,MATCH(D28,CINE_Areas!$A$2:$A$12,0)),"Código inválido")</f>
        <v>Saúde e bem-estar</v>
      </c>
      <c r="F28" s="9" t="s">
        <v>49</v>
      </c>
      <c r="G28" s="9" t="s">
        <v>50</v>
      </c>
      <c r="H28" s="2"/>
    </row>
    <row r="29" customFormat="false" ht="15" hidden="false" customHeight="false" outlineLevel="0" collapsed="false">
      <c r="A29" s="8" t="s">
        <v>112</v>
      </c>
      <c r="B29" s="2" t="s">
        <v>47</v>
      </c>
      <c r="C29" s="2" t="s">
        <v>113</v>
      </c>
      <c r="D29" s="8" t="s">
        <v>36</v>
      </c>
      <c r="E29" s="2" t="str">
        <f aca="false">IFERROR(INDEX(CINE_Areas!$B$2:$B$12,MATCH(D29,CINE_Areas!$A$2:$A$12,0)),"Código inválido")</f>
        <v>Saúde e bem-estar</v>
      </c>
      <c r="F29" s="9" t="s">
        <v>49</v>
      </c>
      <c r="G29" s="9" t="s">
        <v>50</v>
      </c>
      <c r="H29" s="2"/>
    </row>
    <row r="30" customFormat="false" ht="15" hidden="false" customHeight="false" outlineLevel="0" collapsed="false">
      <c r="A30" s="8" t="s">
        <v>114</v>
      </c>
      <c r="B30" s="2" t="s">
        <v>47</v>
      </c>
      <c r="C30" s="2" t="s">
        <v>115</v>
      </c>
      <c r="D30" s="8" t="s">
        <v>36</v>
      </c>
      <c r="E30" s="2" t="str">
        <f aca="false">IFERROR(INDEX(CINE_Areas!$B$2:$B$12,MATCH(D30,CINE_Areas!$A$2:$A$12,0)),"Código inválido")</f>
        <v>Saúde e bem-estar</v>
      </c>
      <c r="F30" s="9" t="s">
        <v>49</v>
      </c>
      <c r="G30" s="9" t="s">
        <v>50</v>
      </c>
      <c r="H30" s="2"/>
    </row>
    <row r="31" customFormat="false" ht="15" hidden="false" customHeight="false" outlineLevel="0" collapsed="false">
      <c r="A31" s="8" t="s">
        <v>116</v>
      </c>
      <c r="B31" s="2" t="s">
        <v>47</v>
      </c>
      <c r="C31" s="2" t="s">
        <v>117</v>
      </c>
      <c r="D31" s="8" t="s">
        <v>36</v>
      </c>
      <c r="E31" s="2" t="str">
        <f aca="false">IFERROR(INDEX(CINE_Areas!$B$2:$B$12,MATCH(D31,CINE_Areas!$A$2:$A$12,0)),"Código inválido")</f>
        <v>Saúde e bem-estar</v>
      </c>
      <c r="F31" s="9" t="s">
        <v>49</v>
      </c>
      <c r="G31" s="9" t="s">
        <v>50</v>
      </c>
      <c r="H31" s="2"/>
    </row>
    <row r="32" customFormat="false" ht="15" hidden="false" customHeight="false" outlineLevel="0" collapsed="false">
      <c r="A32" s="8" t="s">
        <v>118</v>
      </c>
      <c r="B32" s="2" t="s">
        <v>47</v>
      </c>
      <c r="C32" s="2" t="s">
        <v>119</v>
      </c>
      <c r="D32" s="8" t="s">
        <v>36</v>
      </c>
      <c r="E32" s="2" t="str">
        <f aca="false">IFERROR(INDEX(CINE_Areas!$B$2:$B$12,MATCH(D32,CINE_Areas!$A$2:$A$12,0)),"Código inválido")</f>
        <v>Saúde e bem-estar</v>
      </c>
      <c r="F32" s="9" t="s">
        <v>49</v>
      </c>
      <c r="G32" s="9" t="s">
        <v>50</v>
      </c>
      <c r="H32" s="2"/>
    </row>
    <row r="33" customFormat="false" ht="15" hidden="false" customHeight="false" outlineLevel="0" collapsed="false">
      <c r="A33" s="8" t="s">
        <v>120</v>
      </c>
      <c r="B33" s="2" t="s">
        <v>47</v>
      </c>
      <c r="C33" s="2" t="s">
        <v>121</v>
      </c>
      <c r="D33" s="8" t="s">
        <v>24</v>
      </c>
      <c r="E33" s="2" t="str">
        <f aca="false">IFERROR(INDEX(CINE_Areas!$B$2:$B$12,MATCH(D33,CINE_Areas!$A$2:$A$12,0)),"Código inválido")</f>
        <v>Ciências sociais, comunicação e informação</v>
      </c>
      <c r="F33" s="9" t="s">
        <v>49</v>
      </c>
      <c r="G33" s="9" t="s">
        <v>50</v>
      </c>
      <c r="H33" s="2" t="s">
        <v>122</v>
      </c>
    </row>
    <row r="34" customFormat="false" ht="26.85" hidden="false" customHeight="false" outlineLevel="0" collapsed="false">
      <c r="A34" s="8" t="s">
        <v>123</v>
      </c>
      <c r="B34" s="2" t="s">
        <v>47</v>
      </c>
      <c r="C34" s="2" t="s">
        <v>124</v>
      </c>
      <c r="D34" s="8" t="s">
        <v>36</v>
      </c>
      <c r="E34" s="2" t="str">
        <f aca="false">IFERROR(INDEX(CINE_Areas!$B$2:$B$12,MATCH(D34,CINE_Areas!$A$2:$A$12,0)),"Código inválido")</f>
        <v>Saúde e bem-estar</v>
      </c>
      <c r="F34" s="9" t="s">
        <v>49</v>
      </c>
      <c r="G34" s="9" t="s">
        <v>59</v>
      </c>
      <c r="H34" s="2" t="s">
        <v>125</v>
      </c>
    </row>
    <row r="35" customFormat="false" ht="15" hidden="false" customHeight="false" outlineLevel="0" collapsed="false">
      <c r="A35" s="8" t="s">
        <v>126</v>
      </c>
      <c r="B35" s="2" t="s">
        <v>47</v>
      </c>
      <c r="C35" s="2" t="s">
        <v>127</v>
      </c>
      <c r="D35" s="8" t="s">
        <v>38</v>
      </c>
      <c r="E35" s="2" t="str">
        <f aca="false">IFERROR(INDEX(CINE_Areas!$B$2:$B$12,MATCH(D35,CINE_Areas!$A$2:$A$12,0)),"Código inválido")</f>
        <v>Serviços</v>
      </c>
      <c r="F35" s="9" t="s">
        <v>49</v>
      </c>
      <c r="G35" s="9" t="s">
        <v>59</v>
      </c>
      <c r="H35" s="2" t="s">
        <v>128</v>
      </c>
    </row>
    <row r="36" customFormat="false" ht="15" hidden="false" customHeight="false" outlineLevel="0" collapsed="false">
      <c r="A36" s="8" t="s">
        <v>129</v>
      </c>
      <c r="B36" s="2" t="s">
        <v>130</v>
      </c>
      <c r="C36" s="2" t="s">
        <v>131</v>
      </c>
      <c r="D36" s="8" t="s">
        <v>20</v>
      </c>
      <c r="E36" s="2" t="str">
        <f aca="false">IFERROR(INDEX(CINE_Areas!$B$2:$B$12,MATCH(D36,CINE_Areas!$A$2:$A$12,0)),"Código inválido")</f>
        <v>Educação</v>
      </c>
      <c r="F36" s="9" t="s">
        <v>49</v>
      </c>
      <c r="G36" s="9" t="s">
        <v>132</v>
      </c>
      <c r="H36" s="2" t="s">
        <v>133</v>
      </c>
    </row>
    <row r="37" customFormat="false" ht="15" hidden="false" customHeight="false" outlineLevel="0" collapsed="false">
      <c r="A37" s="8" t="s">
        <v>134</v>
      </c>
      <c r="B37" s="2" t="s">
        <v>130</v>
      </c>
      <c r="C37" s="2" t="s">
        <v>135</v>
      </c>
      <c r="D37" s="8" t="s">
        <v>26</v>
      </c>
      <c r="E37" s="2" t="str">
        <f aca="false">IFERROR(INDEX(CINE_Areas!$B$2:$B$12,MATCH(D37,CINE_Areas!$A$2:$A$12,0)),"Código inválido")</f>
        <v>Negócios, administração e direito</v>
      </c>
      <c r="F37" s="9" t="s">
        <v>49</v>
      </c>
      <c r="G37" s="9" t="s">
        <v>132</v>
      </c>
      <c r="H37" s="2" t="s">
        <v>136</v>
      </c>
    </row>
    <row r="38" customFormat="false" ht="15" hidden="false" customHeight="false" outlineLevel="0" collapsed="false">
      <c r="A38" s="8" t="s">
        <v>137</v>
      </c>
      <c r="B38" s="2" t="s">
        <v>47</v>
      </c>
      <c r="C38" s="2" t="s">
        <v>138</v>
      </c>
      <c r="D38" s="8" t="s">
        <v>26</v>
      </c>
      <c r="E38" s="2" t="str">
        <f aca="false">IFERROR(INDEX(CINE_Areas!$B$2:$B$12,MATCH(D38,CINE_Areas!$A$2:$A$12,0)),"Código inválido")</f>
        <v>Negócios, administração e direito</v>
      </c>
      <c r="F38" s="9" t="s">
        <v>49</v>
      </c>
      <c r="G38" s="9" t="s">
        <v>50</v>
      </c>
      <c r="H38" s="2"/>
    </row>
    <row r="39" customFormat="false" ht="15" hidden="false" customHeight="false" outlineLevel="0" collapsed="false">
      <c r="A39" s="8" t="s">
        <v>139</v>
      </c>
      <c r="B39" s="2" t="s">
        <v>47</v>
      </c>
      <c r="C39" s="2" t="s">
        <v>140</v>
      </c>
      <c r="D39" s="8" t="s">
        <v>26</v>
      </c>
      <c r="E39" s="2" t="str">
        <f aca="false">IFERROR(INDEX(CINE_Areas!$B$2:$B$12,MATCH(D39,CINE_Areas!$A$2:$A$12,0)),"Código inválido")</f>
        <v>Negócios, administração e direito</v>
      </c>
      <c r="F39" s="9" t="s">
        <v>49</v>
      </c>
      <c r="G39" s="9" t="s">
        <v>50</v>
      </c>
      <c r="H39" s="2"/>
    </row>
    <row r="40" customFormat="false" ht="15" hidden="false" customHeight="false" outlineLevel="0" collapsed="false">
      <c r="A40" s="8" t="s">
        <v>141</v>
      </c>
      <c r="B40" s="2" t="s">
        <v>47</v>
      </c>
      <c r="C40" s="2" t="s">
        <v>142</v>
      </c>
      <c r="D40" s="8" t="s">
        <v>26</v>
      </c>
      <c r="E40" s="2" t="str">
        <f aca="false">IFERROR(INDEX(CINE_Areas!$B$2:$B$12,MATCH(D40,CINE_Areas!$A$2:$A$12,0)),"Código inválido")</f>
        <v>Negócios, administração e direito</v>
      </c>
      <c r="F40" s="9" t="s">
        <v>49</v>
      </c>
      <c r="G40" s="9" t="s">
        <v>59</v>
      </c>
      <c r="H40" s="2"/>
    </row>
    <row r="41" customFormat="false" ht="15" hidden="false" customHeight="false" outlineLevel="0" collapsed="false">
      <c r="A41" s="8" t="s">
        <v>143</v>
      </c>
      <c r="B41" s="2" t="s">
        <v>47</v>
      </c>
      <c r="C41" s="2" t="s">
        <v>144</v>
      </c>
      <c r="D41" s="8" t="s">
        <v>26</v>
      </c>
      <c r="E41" s="2" t="str">
        <f aca="false">IFERROR(INDEX(CINE_Areas!$B$2:$B$12,MATCH(D41,CINE_Areas!$A$2:$A$12,0)),"Código inválido")</f>
        <v>Negócios, administração e direito</v>
      </c>
      <c r="F41" s="9" t="s">
        <v>49</v>
      </c>
      <c r="G41" s="9" t="s">
        <v>50</v>
      </c>
      <c r="H41" s="2"/>
    </row>
    <row r="42" customFormat="false" ht="15" hidden="false" customHeight="false" outlineLevel="0" collapsed="false">
      <c r="A42" s="8" t="s">
        <v>145</v>
      </c>
      <c r="B42" s="2" t="s">
        <v>47</v>
      </c>
      <c r="C42" s="2" t="s">
        <v>146</v>
      </c>
      <c r="D42" s="8" t="s">
        <v>26</v>
      </c>
      <c r="E42" s="2" t="str">
        <f aca="false">IFERROR(INDEX(CINE_Areas!$B$2:$B$12,MATCH(D42,CINE_Areas!$A$2:$A$12,0)),"Código inválido")</f>
        <v>Negócios, administração e direito</v>
      </c>
      <c r="F42" s="9" t="s">
        <v>49</v>
      </c>
      <c r="G42" s="9" t="s">
        <v>50</v>
      </c>
      <c r="H42" s="2"/>
    </row>
    <row r="43" customFormat="false" ht="26.85" hidden="false" customHeight="false" outlineLevel="0" collapsed="false">
      <c r="A43" s="8" t="s">
        <v>147</v>
      </c>
      <c r="B43" s="2" t="s">
        <v>47</v>
      </c>
      <c r="C43" s="2" t="s">
        <v>148</v>
      </c>
      <c r="D43" s="8" t="s">
        <v>26</v>
      </c>
      <c r="E43" s="2" t="str">
        <f aca="false">IFERROR(INDEX(CINE_Areas!$B$2:$B$12,MATCH(D43,CINE_Areas!$A$2:$A$12,0)),"Código inválido")</f>
        <v>Negócios, administração e direito</v>
      </c>
      <c r="F43" s="9" t="s">
        <v>49</v>
      </c>
      <c r="G43" s="9" t="s">
        <v>59</v>
      </c>
      <c r="H43" s="2" t="s">
        <v>149</v>
      </c>
    </row>
    <row r="44" customFormat="false" ht="26.85" hidden="false" customHeight="false" outlineLevel="0" collapsed="false">
      <c r="A44" s="8" t="s">
        <v>150</v>
      </c>
      <c r="B44" s="2" t="s">
        <v>151</v>
      </c>
      <c r="C44" s="2" t="s">
        <v>152</v>
      </c>
      <c r="D44" s="8" t="s">
        <v>26</v>
      </c>
      <c r="E44" s="2" t="str">
        <f aca="false">IFERROR(INDEX(CINE_Areas!$B$2:$B$12,MATCH(D44,CINE_Areas!$A$2:$A$12,0)),"Código inválido")</f>
        <v>Negócios, administração e direito</v>
      </c>
      <c r="F44" s="9" t="s">
        <v>63</v>
      </c>
      <c r="G44" s="9" t="s">
        <v>59</v>
      </c>
      <c r="H44" s="2" t="s">
        <v>153</v>
      </c>
    </row>
    <row r="45" customFormat="false" ht="15" hidden="false" customHeight="false" outlineLevel="0" collapsed="false">
      <c r="A45" s="8" t="s">
        <v>154</v>
      </c>
      <c r="B45" s="2" t="s">
        <v>47</v>
      </c>
      <c r="C45" s="2" t="s">
        <v>155</v>
      </c>
      <c r="D45" s="8" t="s">
        <v>24</v>
      </c>
      <c r="E45" s="2" t="str">
        <f aca="false">IFERROR(INDEX(CINE_Areas!$B$2:$B$12,MATCH(D45,CINE_Areas!$A$2:$A$12,0)),"Código inválido")</f>
        <v>Ciências sociais, comunicação e informação</v>
      </c>
      <c r="F45" s="9" t="s">
        <v>49</v>
      </c>
      <c r="G45" s="9" t="s">
        <v>59</v>
      </c>
      <c r="H45" s="2"/>
    </row>
    <row r="46" customFormat="false" ht="15" hidden="false" customHeight="false" outlineLevel="0" collapsed="false">
      <c r="A46" s="8" t="s">
        <v>156</v>
      </c>
      <c r="B46" s="2" t="s">
        <v>47</v>
      </c>
      <c r="C46" s="2" t="s">
        <v>157</v>
      </c>
      <c r="D46" s="8" t="s">
        <v>24</v>
      </c>
      <c r="E46" s="2" t="str">
        <f aca="false">IFERROR(INDEX(CINE_Areas!$B$2:$B$12,MATCH(D46,CINE_Areas!$A$2:$A$12,0)),"Código inválido")</f>
        <v>Ciências sociais, comunicação e informação</v>
      </c>
      <c r="F46" s="9" t="s">
        <v>49</v>
      </c>
      <c r="G46" s="9" t="s">
        <v>50</v>
      </c>
      <c r="H46" s="2" t="s">
        <v>158</v>
      </c>
    </row>
    <row r="47" customFormat="false" ht="15" hidden="false" customHeight="false" outlineLevel="0" collapsed="false">
      <c r="A47" s="8" t="s">
        <v>159</v>
      </c>
      <c r="B47" s="2" t="s">
        <v>47</v>
      </c>
      <c r="C47" s="2" t="s">
        <v>160</v>
      </c>
      <c r="D47" s="8" t="s">
        <v>24</v>
      </c>
      <c r="E47" s="2" t="str">
        <f aca="false">IFERROR(INDEX(CINE_Areas!$B$2:$B$12,MATCH(D47,CINE_Areas!$A$2:$A$12,0)),"Código inválido")</f>
        <v>Ciências sociais, comunicação e informação</v>
      </c>
      <c r="F47" s="9" t="s">
        <v>49</v>
      </c>
      <c r="G47" s="9" t="s">
        <v>50</v>
      </c>
      <c r="H47" s="2"/>
    </row>
    <row r="48" customFormat="false" ht="15" hidden="false" customHeight="false" outlineLevel="0" collapsed="false">
      <c r="A48" s="8" t="s">
        <v>161</v>
      </c>
      <c r="B48" s="2" t="s">
        <v>47</v>
      </c>
      <c r="C48" s="2" t="s">
        <v>162</v>
      </c>
      <c r="D48" s="8" t="s">
        <v>24</v>
      </c>
      <c r="E48" s="2" t="str">
        <f aca="false">IFERROR(INDEX(CINE_Areas!$B$2:$B$12,MATCH(D48,CINE_Areas!$A$2:$A$12,0)),"Código inválido")</f>
        <v>Ciências sociais, comunicação e informação</v>
      </c>
      <c r="F48" s="9" t="s">
        <v>49</v>
      </c>
      <c r="G48" s="9" t="s">
        <v>59</v>
      </c>
      <c r="H48" s="2"/>
    </row>
    <row r="49" customFormat="false" ht="15" hidden="false" customHeight="false" outlineLevel="0" collapsed="false">
      <c r="A49" s="8" t="s">
        <v>163</v>
      </c>
      <c r="B49" s="2" t="s">
        <v>47</v>
      </c>
      <c r="C49" s="2" t="s">
        <v>164</v>
      </c>
      <c r="D49" s="8" t="s">
        <v>24</v>
      </c>
      <c r="E49" s="2" t="str">
        <f aca="false">IFERROR(INDEX(CINE_Areas!$B$2:$B$12,MATCH(D49,CINE_Areas!$A$2:$A$12,0)),"Código inválido")</f>
        <v>Ciências sociais, comunicação e informação</v>
      </c>
      <c r="F49" s="9" t="s">
        <v>49</v>
      </c>
      <c r="G49" s="9" t="s">
        <v>59</v>
      </c>
      <c r="H49" s="2"/>
    </row>
    <row r="50" customFormat="false" ht="15" hidden="false" customHeight="false" outlineLevel="0" collapsed="false">
      <c r="A50" s="8" t="s">
        <v>165</v>
      </c>
      <c r="B50" s="2" t="s">
        <v>47</v>
      </c>
      <c r="C50" s="2" t="s">
        <v>166</v>
      </c>
      <c r="D50" s="8" t="s">
        <v>22</v>
      </c>
      <c r="E50" s="2" t="str">
        <f aca="false">IFERROR(INDEX(CINE_Areas!$B$2:$B$12,MATCH(D50,CINE_Areas!$A$2:$A$12,0)),"Código inválido")</f>
        <v>Artes e humanidades</v>
      </c>
      <c r="F50" s="9" t="s">
        <v>49</v>
      </c>
      <c r="G50" s="9" t="s">
        <v>59</v>
      </c>
      <c r="H50" s="2"/>
    </row>
    <row r="51" customFormat="false" ht="15" hidden="false" customHeight="false" outlineLevel="0" collapsed="false">
      <c r="A51" s="8" t="s">
        <v>167</v>
      </c>
      <c r="B51" s="2" t="s">
        <v>47</v>
      </c>
      <c r="C51" s="2" t="s">
        <v>168</v>
      </c>
      <c r="D51" s="8" t="s">
        <v>22</v>
      </c>
      <c r="E51" s="2" t="str">
        <f aca="false">IFERROR(INDEX(CINE_Areas!$B$2:$B$12,MATCH(D51,CINE_Areas!$A$2:$A$12,0)),"Código inválido")</f>
        <v>Artes e humanidades</v>
      </c>
      <c r="F51" s="9" t="s">
        <v>49</v>
      </c>
      <c r="G51" s="9" t="s">
        <v>59</v>
      </c>
      <c r="H51" s="2"/>
    </row>
    <row r="52" customFormat="false" ht="15" hidden="false" customHeight="false" outlineLevel="0" collapsed="false">
      <c r="A52" s="8" t="s">
        <v>169</v>
      </c>
      <c r="B52" s="2" t="s">
        <v>170</v>
      </c>
      <c r="C52" s="2" t="s">
        <v>171</v>
      </c>
      <c r="D52" s="8" t="s">
        <v>22</v>
      </c>
      <c r="E52" s="2" t="str">
        <f aca="false">IFERROR(INDEX(CINE_Areas!$B$2:$B$12,MATCH(D52,CINE_Areas!$A$2:$A$12,0)),"Código inválido")</f>
        <v>Artes e humanidades</v>
      </c>
      <c r="F52" s="9" t="s">
        <v>49</v>
      </c>
      <c r="G52" s="9" t="s">
        <v>50</v>
      </c>
      <c r="H52" s="2" t="s">
        <v>172</v>
      </c>
    </row>
    <row r="53" customFormat="false" ht="15" hidden="false" customHeight="false" outlineLevel="0" collapsed="false">
      <c r="A53" s="8" t="s">
        <v>173</v>
      </c>
      <c r="B53" s="2" t="s">
        <v>47</v>
      </c>
      <c r="C53" s="2" t="s">
        <v>174</v>
      </c>
      <c r="D53" s="8" t="s">
        <v>22</v>
      </c>
      <c r="E53" s="2" t="str">
        <f aca="false">IFERROR(INDEX(CINE_Areas!$B$2:$B$12,MATCH(D53,CINE_Areas!$A$2:$A$12,0)),"Código inválido")</f>
        <v>Artes e humanidades</v>
      </c>
      <c r="F53" s="9" t="s">
        <v>49</v>
      </c>
      <c r="G53" s="9" t="s">
        <v>59</v>
      </c>
      <c r="H53" s="2" t="s">
        <v>175</v>
      </c>
    </row>
  </sheetData>
  <dataValidations count="2">
    <dataValidation allowBlank="false" errorStyle="stop" operator="between" showDropDown="false" showErrorMessage="false" showInputMessage="false" sqref="F2:F53" type="list">
      <formula1>"Principal,Secundário"</formula1>
      <formula2>0</formula2>
    </dataValidation>
    <dataValidation allowBlank="false" errorStyle="stop" operator="between" showDropDown="false" showErrorMessage="false" showInputMessage="false" sqref="G2:G53" type="list">
      <formula1>"Alta,Média,Verificar"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4" t="s">
        <v>176</v>
      </c>
      <c r="B1" s="4" t="s">
        <v>177</v>
      </c>
      <c r="C1" s="4" t="s">
        <v>178</v>
      </c>
    </row>
    <row r="2" customFormat="false" ht="15" hidden="false" customHeight="false" outlineLevel="0" collapsed="false">
      <c r="A2" s="5" t="s">
        <v>150</v>
      </c>
      <c r="B2" s="6" t="s">
        <v>179</v>
      </c>
      <c r="C2" s="10" t="s">
        <v>180</v>
      </c>
    </row>
    <row r="3" customFormat="false" ht="15" hidden="false" customHeight="false" outlineLevel="0" collapsed="false">
      <c r="A3" s="5" t="s">
        <v>181</v>
      </c>
      <c r="B3" s="6" t="s">
        <v>182</v>
      </c>
      <c r="C3" s="10" t="s">
        <v>180</v>
      </c>
    </row>
    <row r="4" customFormat="false" ht="15" hidden="false" customHeight="false" outlineLevel="0" collapsed="false">
      <c r="A4" s="5" t="s">
        <v>183</v>
      </c>
      <c r="B4" s="6" t="s">
        <v>184</v>
      </c>
      <c r="C4" s="10" t="s">
        <v>180</v>
      </c>
    </row>
    <row r="5" customFormat="false" ht="15" hidden="false" customHeight="false" outlineLevel="0" collapsed="false">
      <c r="A5" s="5" t="s">
        <v>185</v>
      </c>
      <c r="B5" s="6" t="s">
        <v>186</v>
      </c>
      <c r="C5" s="10" t="s">
        <v>180</v>
      </c>
    </row>
    <row r="6" customFormat="false" ht="15" hidden="false" customHeight="false" outlineLevel="0" collapsed="false">
      <c r="A6" s="5" t="s">
        <v>187</v>
      </c>
      <c r="B6" s="6" t="s">
        <v>188</v>
      </c>
      <c r="C6" s="10" t="s">
        <v>180</v>
      </c>
    </row>
    <row r="7" customFormat="false" ht="15" hidden="false" customHeight="false" outlineLevel="0" collapsed="false">
      <c r="A7" s="5" t="s">
        <v>189</v>
      </c>
      <c r="B7" s="6" t="s">
        <v>190</v>
      </c>
      <c r="C7" s="10" t="s">
        <v>180</v>
      </c>
    </row>
    <row r="8" customFormat="false" ht="15" hidden="false" customHeight="false" outlineLevel="0" collapsed="false">
      <c r="A8" s="5" t="s">
        <v>191</v>
      </c>
      <c r="B8" s="6" t="s">
        <v>192</v>
      </c>
      <c r="C8" s="10" t="s">
        <v>193</v>
      </c>
    </row>
    <row r="9" customFormat="false" ht="15" hidden="false" customHeight="false" outlineLevel="0" collapsed="false">
      <c r="A9" s="5" t="s">
        <v>194</v>
      </c>
      <c r="B9" s="6" t="s">
        <v>195</v>
      </c>
      <c r="C9" s="10" t="s">
        <v>193</v>
      </c>
    </row>
    <row r="10" customFormat="false" ht="15" hidden="false" customHeight="false" outlineLevel="0" collapsed="false">
      <c r="A10" s="5" t="s">
        <v>196</v>
      </c>
      <c r="B10" s="6" t="s">
        <v>197</v>
      </c>
      <c r="C10" s="10" t="s">
        <v>198</v>
      </c>
    </row>
    <row r="11" customFormat="false" ht="15" hidden="false" customHeight="false" outlineLevel="0" collapsed="false">
      <c r="A11" s="5" t="s">
        <v>38</v>
      </c>
      <c r="B11" s="6" t="s">
        <v>199</v>
      </c>
      <c r="C11" s="10" t="s">
        <v>198</v>
      </c>
    </row>
    <row r="12" customFormat="false" ht="15" hidden="false" customHeight="false" outlineLevel="0" collapsed="false">
      <c r="A12" s="5" t="s">
        <v>200</v>
      </c>
      <c r="B12" s="6" t="s">
        <v>201</v>
      </c>
      <c r="C12" s="10" t="s">
        <v>198</v>
      </c>
    </row>
    <row r="13" customFormat="false" ht="15" hidden="false" customHeight="false" outlineLevel="0" collapsed="false">
      <c r="A13" s="5" t="s">
        <v>202</v>
      </c>
      <c r="B13" s="6" t="s">
        <v>203</v>
      </c>
      <c r="C13" s="10" t="s">
        <v>198</v>
      </c>
    </row>
    <row r="14" customFormat="false" ht="15" hidden="false" customHeight="false" outlineLevel="0" collapsed="false">
      <c r="A14" s="5" t="s">
        <v>204</v>
      </c>
      <c r="B14" s="6" t="s">
        <v>205</v>
      </c>
      <c r="C14" s="10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4" t="s">
        <v>16</v>
      </c>
      <c r="B1" s="4" t="s">
        <v>17</v>
      </c>
      <c r="C1" s="4" t="s">
        <v>206</v>
      </c>
      <c r="D1" s="4" t="s">
        <v>207</v>
      </c>
      <c r="E1" s="4" t="s">
        <v>208</v>
      </c>
    </row>
    <row r="2" customFormat="false" ht="15" hidden="false" customHeight="false" outlineLevel="0" collapsed="false">
      <c r="A2" s="5" t="s">
        <v>18</v>
      </c>
      <c r="B2" s="6" t="str">
        <f aca="false">CINE_Areas!B2</f>
        <v>Programas básicos</v>
      </c>
      <c r="C2" s="6" t="n">
        <f aca="false">COUNTIFS(DePara_CBO_CINE!$D$2:$D$53,A2)</f>
        <v>0</v>
      </c>
      <c r="D2" s="6" t="n">
        <f aca="false">COUNTIFS(DePara_CBO_CINE!$D$2:$D$53,A2,DePara_CBO_CINE!$F$2:$F$53,"Principal")</f>
        <v>0</v>
      </c>
      <c r="E2" s="6" t="n">
        <f aca="false">COUNTIFS(DePara_CBO_CINE!$D$2:$D$53,A2,DePara_CBO_CINE!$G$2:$G$53,"Verificar")</f>
        <v>0</v>
      </c>
    </row>
    <row r="3" customFormat="false" ht="15" hidden="false" customHeight="false" outlineLevel="0" collapsed="false">
      <c r="A3" s="5" t="s">
        <v>20</v>
      </c>
      <c r="B3" s="6" t="str">
        <f aca="false">CINE_Areas!B3</f>
        <v>Educação</v>
      </c>
      <c r="C3" s="6" t="n">
        <f aca="false">COUNTIFS(DePara_CBO_CINE!$D$2:$D$53,A3)</f>
        <v>1</v>
      </c>
      <c r="D3" s="6" t="n">
        <f aca="false">COUNTIFS(DePara_CBO_CINE!$D$2:$D$53,A3,DePara_CBO_CINE!$F$2:$F$53,"Principal")</f>
        <v>1</v>
      </c>
      <c r="E3" s="6" t="n">
        <f aca="false">COUNTIFS(DePara_CBO_CINE!$D$2:$D$53,A3,DePara_CBO_CINE!$G$2:$G$53,"Verificar")</f>
        <v>0</v>
      </c>
    </row>
    <row r="4" customFormat="false" ht="15" hidden="false" customHeight="false" outlineLevel="0" collapsed="false">
      <c r="A4" s="5" t="s">
        <v>22</v>
      </c>
      <c r="B4" s="6" t="str">
        <f aca="false">CINE_Areas!B4</f>
        <v>Artes e humanidades</v>
      </c>
      <c r="C4" s="6" t="n">
        <f aca="false">COUNTIFS(DePara_CBO_CINE!$D$2:$D$53,A4)</f>
        <v>4</v>
      </c>
      <c r="D4" s="6" t="n">
        <f aca="false">COUNTIFS(DePara_CBO_CINE!$D$2:$D$53,A4,DePara_CBO_CINE!$F$2:$F$53,"Principal")</f>
        <v>4</v>
      </c>
      <c r="E4" s="6" t="n">
        <f aca="false">COUNTIFS(DePara_CBO_CINE!$D$2:$D$53,A4,DePara_CBO_CINE!$G$2:$G$53,"Verificar")</f>
        <v>3</v>
      </c>
    </row>
    <row r="5" customFormat="false" ht="15" hidden="false" customHeight="false" outlineLevel="0" collapsed="false">
      <c r="A5" s="5" t="s">
        <v>24</v>
      </c>
      <c r="B5" s="6" t="str">
        <f aca="false">CINE_Areas!B5</f>
        <v>Ciências sociais, comunicação e informação</v>
      </c>
      <c r="C5" s="6" t="n">
        <f aca="false">COUNTIFS(DePara_CBO_CINE!$D$2:$D$53,A5)</f>
        <v>6</v>
      </c>
      <c r="D5" s="6" t="n">
        <f aca="false">COUNTIFS(DePara_CBO_CINE!$D$2:$D$53,A5,DePara_CBO_CINE!$F$2:$F$53,"Principal")</f>
        <v>6</v>
      </c>
      <c r="E5" s="6" t="n">
        <f aca="false">COUNTIFS(DePara_CBO_CINE!$D$2:$D$53,A5,DePara_CBO_CINE!$G$2:$G$53,"Verificar")</f>
        <v>3</v>
      </c>
    </row>
    <row r="6" customFormat="false" ht="15" hidden="false" customHeight="false" outlineLevel="0" collapsed="false">
      <c r="A6" s="5" t="s">
        <v>26</v>
      </c>
      <c r="B6" s="6" t="str">
        <f aca="false">CINE_Areas!B6</f>
        <v>Negócios, administração e direito</v>
      </c>
      <c r="C6" s="6" t="n">
        <f aca="false">COUNTIFS(DePara_CBO_CINE!$D$2:$D$53,A6)</f>
        <v>8</v>
      </c>
      <c r="D6" s="6" t="n">
        <f aca="false">COUNTIFS(DePara_CBO_CINE!$D$2:$D$53,A6,DePara_CBO_CINE!$F$2:$F$53,"Principal")</f>
        <v>7</v>
      </c>
      <c r="E6" s="6" t="n">
        <f aca="false">COUNTIFS(DePara_CBO_CINE!$D$2:$D$53,A6,DePara_CBO_CINE!$G$2:$G$53,"Verificar")</f>
        <v>3</v>
      </c>
    </row>
    <row r="7" customFormat="false" ht="15" hidden="false" customHeight="false" outlineLevel="0" collapsed="false">
      <c r="A7" s="5" t="s">
        <v>28</v>
      </c>
      <c r="B7" s="6" t="str">
        <f aca="false">CINE_Areas!B7</f>
        <v>Ciências naturais, matemática e estatística</v>
      </c>
      <c r="C7" s="6" t="n">
        <f aca="false">COUNTIFS(DePara_CBO_CINE!$D$2:$D$53,A7)</f>
        <v>6</v>
      </c>
      <c r="D7" s="6" t="n">
        <f aca="false">COUNTIFS(DePara_CBO_CINE!$D$2:$D$53,A7,DePara_CBO_CINE!$F$2:$F$53,"Principal")</f>
        <v>6</v>
      </c>
      <c r="E7" s="6" t="n">
        <f aca="false">COUNTIFS(DePara_CBO_CINE!$D$2:$D$53,A7,DePara_CBO_CINE!$G$2:$G$53,"Verificar")</f>
        <v>1</v>
      </c>
    </row>
    <row r="8" customFormat="false" ht="15" hidden="false" customHeight="false" outlineLevel="0" collapsed="false">
      <c r="A8" s="5" t="s">
        <v>30</v>
      </c>
      <c r="B8" s="6" t="str">
        <f aca="false">CINE_Areas!B8</f>
        <v>Computação e Tecnologias da Informação e Comunicação (TIC)</v>
      </c>
      <c r="C8" s="6" t="n">
        <f aca="false">COUNTIFS(DePara_CBO_CINE!$D$2:$D$53,A8)</f>
        <v>5</v>
      </c>
      <c r="D8" s="6" t="n">
        <f aca="false">COUNTIFS(DePara_CBO_CINE!$D$2:$D$53,A8,DePara_CBO_CINE!$F$2:$F$53,"Principal")</f>
        <v>4</v>
      </c>
      <c r="E8" s="6" t="n">
        <f aca="false">COUNTIFS(DePara_CBO_CINE!$D$2:$D$53,A8,DePara_CBO_CINE!$G$2:$G$53,"Verificar")</f>
        <v>2</v>
      </c>
    </row>
    <row r="9" customFormat="false" ht="15" hidden="false" customHeight="false" outlineLevel="0" collapsed="false">
      <c r="A9" s="5" t="s">
        <v>32</v>
      </c>
      <c r="B9" s="6" t="str">
        <f aca="false">CINE_Areas!B9</f>
        <v>Engenharia, produção e construção</v>
      </c>
      <c r="C9" s="6" t="n">
        <f aca="false">COUNTIFS(DePara_CBO_CINE!$D$2:$D$53,A9)</f>
        <v>8</v>
      </c>
      <c r="D9" s="6" t="n">
        <f aca="false">COUNTIFS(DePara_CBO_CINE!$D$2:$D$53,A9,DePara_CBO_CINE!$F$2:$F$53,"Principal")</f>
        <v>8</v>
      </c>
      <c r="E9" s="6" t="n">
        <f aca="false">COUNTIFS(DePara_CBO_CINE!$D$2:$D$53,A9,DePara_CBO_CINE!$G$2:$G$53,"Verificar")</f>
        <v>2</v>
      </c>
    </row>
    <row r="10" customFormat="false" ht="15" hidden="false" customHeight="false" outlineLevel="0" collapsed="false">
      <c r="A10" s="5" t="s">
        <v>34</v>
      </c>
      <c r="B10" s="6" t="str">
        <f aca="false">CINE_Areas!B10</f>
        <v>Agricultura, silvicultura, pesca e veterinária</v>
      </c>
      <c r="C10" s="6" t="n">
        <f aca="false">COUNTIFS(DePara_CBO_CINE!$D$2:$D$53,A10)</f>
        <v>2</v>
      </c>
      <c r="D10" s="6" t="n">
        <f aca="false">COUNTIFS(DePara_CBO_CINE!$D$2:$D$53,A10,DePara_CBO_CINE!$F$2:$F$53,"Principal")</f>
        <v>2</v>
      </c>
      <c r="E10" s="6" t="n">
        <f aca="false">COUNTIFS(DePara_CBO_CINE!$D$2:$D$53,A10,DePara_CBO_CINE!$G$2:$G$53,"Verificar")</f>
        <v>1</v>
      </c>
    </row>
    <row r="11" customFormat="false" ht="15" hidden="false" customHeight="false" outlineLevel="0" collapsed="false">
      <c r="A11" s="5" t="s">
        <v>36</v>
      </c>
      <c r="B11" s="6" t="str">
        <f aca="false">CINE_Areas!B11</f>
        <v>Saúde e bem-estar</v>
      </c>
      <c r="C11" s="6" t="n">
        <f aca="false">COUNTIFS(DePara_CBO_CINE!$D$2:$D$53,A11)</f>
        <v>11</v>
      </c>
      <c r="D11" s="6" t="n">
        <f aca="false">COUNTIFS(DePara_CBO_CINE!$D$2:$D$53,A11,DePara_CBO_CINE!$F$2:$F$53,"Principal")</f>
        <v>11</v>
      </c>
      <c r="E11" s="6" t="n">
        <f aca="false">COUNTIFS(DePara_CBO_CINE!$D$2:$D$53,A11,DePara_CBO_CINE!$G$2:$G$53,"Verificar")</f>
        <v>2</v>
      </c>
    </row>
    <row r="12" customFormat="false" ht="15" hidden="false" customHeight="false" outlineLevel="0" collapsed="false">
      <c r="A12" s="5" t="s">
        <v>38</v>
      </c>
      <c r="B12" s="6" t="str">
        <f aca="false">CINE_Areas!B12</f>
        <v>Serviços</v>
      </c>
      <c r="C12" s="6" t="n">
        <f aca="false">COUNTIFS(DePara_CBO_CINE!$D$2:$D$53,A12)</f>
        <v>1</v>
      </c>
      <c r="D12" s="6" t="n">
        <f aca="false">COUNTIFS(DePara_CBO_CINE!$D$2:$D$53,A12,DePara_CBO_CINE!$F$2:$F$53,"Principal")</f>
        <v>1</v>
      </c>
      <c r="E12" s="6" t="n">
        <f aca="false">COUNTIFS(DePara_CBO_CINE!$D$2:$D$53,A12,DePara_CBO_CINE!$G$2:$G$53,"Verificar")</f>
        <v>1</v>
      </c>
    </row>
    <row r="13" customFormat="false" ht="15" hidden="false" customHeight="false" outlineLevel="0" collapsed="false">
      <c r="B13" s="11" t="s">
        <v>209</v>
      </c>
      <c r="C13" s="11" t="n">
        <f aca="false">SUM(C2:C12)</f>
        <v>52</v>
      </c>
      <c r="D13" s="11" t="n">
        <f aca="false">SUM(D2:D12)</f>
        <v>50</v>
      </c>
      <c r="E13" s="11" t="n">
        <f aca="false">SUM(E2:E12)</f>
        <v>18</v>
      </c>
    </row>
    <row r="15" customFormat="false" ht="15" hidden="false" customHeight="false" outlineLevel="0" collapsed="false">
      <c r="A15" s="12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2026-09-30T18:21:52Z</dcterms:created>
  <dc:creator>openpyxl</dc:creator>
  <dc:description/>
  <dc:language>en-US</dc:language>
  <cp:lastModifiedBy/>
  <dcterms:modified xsi:type="dcterms:W3CDTF">2026-09-30T18:21:52Z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