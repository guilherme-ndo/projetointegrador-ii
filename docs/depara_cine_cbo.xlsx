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ia-me" sheetId="1" state="visible" r:id="rId1"/>
    <sheet name="CINE_Areas" sheetId="2" state="visible" r:id="rId2"/>
    <sheet name="DePara_CBO_CINE" sheetId="3" state="visible" r:id="rId3"/>
    <sheet name="Escolaridade_CAGED" sheetId="4" state="visible" r:id="rId4"/>
    <sheet name="Resumo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sz val="11"/>
    </font>
  </fonts>
  <fills count="4">
    <fill>
      <patternFill/>
    </fill>
    <fill>
      <patternFill patternType="gray125"/>
    </fill>
    <fill>
      <patternFill patternType="solid">
        <fgColor rgb="FF2B2462"/>
        <bgColor rgb="FF333399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/>
    </xf>
    <xf numFmtId="49" fontId="5" fillId="3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/>
    </xf>
    <xf numFmtId="49" fontId="5" fillId="3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B24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46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CINE" displayName="tCINE" ref="A1:B12" headerRowCount="1" totalsRowCount="0" totalsRowShown="0">
  <autoFilter ref="A1:B12"/>
  <tableColumns count="2">
    <tableColumn id="1" name="area_codigo"/>
    <tableColumn id="2" name="area_nome"/>
  </tableColumns>
</table>
</file>

<file path=xl/tables/table2.xml><?xml version="1.0" encoding="utf-8"?>
<table xmlns="http://schemas.openxmlformats.org/spreadsheetml/2006/main" id="2" name="tDePara" displayName="tDePara" ref="A1:I80" headerRowCount="1" totalsRowCount="0" totalsRowShown="0">
  <autoFilter ref="A1:I80"/>
  <tableColumns count="9">
    <tableColumn id="1" name="cbo_codigo"/>
    <tableColumn id="2" name="cbo_nivel"/>
    <tableColumn id="3" name="cbo_descricao"/>
    <tableColumn id="4" name="area_codigo"/>
    <tableColumn id="5" name="area_nome"/>
    <tableColumn id="6" name="tipo_vinculo"/>
    <tableColumn id="7" name="confianca"/>
    <tableColumn id="8" name="observacao"/>
    <tableColumn id="9" name="fonte"/>
  </tableColumns>
</table>
</file>

<file path=xl/tables/table3.xml><?xml version="1.0" encoding="utf-8"?>
<table xmlns="http://schemas.openxmlformats.org/spreadsheetml/2006/main" id="3" name="tEscolaridade" displayName="tEscolaridade" ref="A1:C14" headerRowCount="1" totalsRowCount="0" totalsRowShown="0">
  <autoFilter ref="A1:C14"/>
  <tableColumns count="3">
    <tableColumn id="1" name="codigo_graudeinstrucao"/>
    <tableColumn id="2" name="descricao"/>
    <tableColumn id="3" name="grupo_analis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3" min="1" max="1"/>
  </cols>
  <sheetData>
    <row r="1" ht="17.35" customHeight="1" s="14">
      <c r="A1" s="15" t="inlineStr">
        <is>
          <t>Tabela de-para CINE Brasil x CBO 2002 (validada com CAGED e INEP 2024)</t>
        </is>
      </c>
    </row>
    <row r="2" ht="15" customHeight="1" s="14">
      <c r="A2" s="16" t="inlineStr">
        <is>
          <t>Projeto Integrador II · Fatec Santana de Parnaíba · Ciência de Dados</t>
        </is>
      </c>
    </row>
    <row r="3" ht="15" customHeight="1" s="14">
      <c r="A3" s="16" t="n"/>
    </row>
    <row r="4" ht="15" customHeight="1" s="14">
      <c r="A4" s="17" t="inlineStr">
        <is>
          <t>Objetivo</t>
        </is>
      </c>
    </row>
    <row r="5" ht="26.85" customHeight="1" s="14">
      <c r="A5" s="16" t="inlineStr">
        <is>
          <t>Ligar área do curso (CINE Brasil, usada pelo INEP no Censo da Educação Superior) à ocupação do emprego (CBO 2002, usada no Novo CAGED e na RAIS).</t>
        </is>
      </c>
    </row>
    <row r="6" ht="15" customHeight="1" s="14">
      <c r="A6" s="16" t="n"/>
    </row>
    <row r="7" ht="15" customHeight="1" s="14">
      <c r="A7" s="17" t="inlineStr">
        <is>
          <t>Como usar no Power BI</t>
        </is>
      </c>
    </row>
    <row r="8" ht="26.85" customHeight="1" s="14">
      <c r="A8" s="16" t="inlineStr">
        <is>
          <t>1. A busca em cascata é feita pelo script scripts/04_dim_cbo.py, que gera dados_tratados/dCBO.csv com todas as ocupações da CBO já classificadas.</t>
        </is>
      </c>
    </row>
    <row r="9" ht="15" customHeight="1" s="14">
      <c r="A9" s="16" t="inlineStr">
        <is>
          <t>2. Ordem da busca: 4 dígitos, depois 3, 2 e 1 (do mais específico ao mais geral). No Power BI, relacionar fAdmissoes[cbo2002ocupacao] com dCBO[cbo_codigo].</t>
        </is>
      </c>
    </row>
    <row r="10" ht="26.85" customHeight="1" s="14">
      <c r="A10" s="16" t="inlineStr">
        <is>
          <t>3. Índice de descompasso: só tipo_vinculo = Principal e admissões com superior completo ou mais (graus 9, 10, 11 e 80). Formados em ocupações dos grandes grupos 4 a 9 contam como sobrequalificação.</t>
        </is>
      </c>
    </row>
    <row r="11" ht="15" customHeight="1" s="14">
      <c r="A11" s="16" t="n"/>
    </row>
    <row r="12" ht="15" customHeight="1" s="14">
      <c r="A12" s="17" t="inlineStr">
        <is>
          <t>Legenda</t>
        </is>
      </c>
    </row>
    <row r="13" ht="15" customHeight="1" s="14">
      <c r="A13" s="16" t="inlineStr">
        <is>
          <t>Células com fundo amarelo são editáveis: revisar código, área e confiança.</t>
        </is>
      </c>
    </row>
    <row r="14" ht="15" customHeight="1" s="14">
      <c r="A14" s="16" t="inlineStr">
        <is>
          <t>Coluna area_nome é fórmula (busca na aba CINE_Areas); não editar.</t>
        </is>
      </c>
    </row>
    <row r="15" ht="15" customHeight="1" s="14">
      <c r="A15" s="16" t="inlineStr">
        <is>
          <t>Confiança: Alta = área confirmada pelo nome do curso no INEP 2024; Média = mapeamento usual, com exceções. A coluna fonte registra a evidência usada.</t>
        </is>
      </c>
    </row>
    <row r="16" ht="15" customHeight="1" s="14">
      <c r="A16" s="16" t="n"/>
    </row>
    <row r="17" ht="15" customHeight="1" s="14">
      <c r="A17" s="17" t="inlineStr">
        <is>
          <t>Atenção</t>
        </is>
      </c>
    </row>
    <row r="18" ht="26.85" customHeight="1" s="14">
      <c r="A18" s="16" t="inlineStr">
        <is>
          <t>Validação feita em 30/09/2026 com as admissões de formados no CAGED 2024 (8 municípios) e com as áreas CINE dos cursos no INEP 2024. Foram priorizadas as ocupações que somam cerca de 90% das admissões de formados em cargos de nível superior, técnico ou dirigente.</t>
        </is>
      </c>
    </row>
    <row r="19" ht="26.85" customHeight="1" s="14">
      <c r="A19" s="16" t="inlineStr">
        <is>
          <t>Códigos de escolaridade conferidos no layout do Novo CAGED (PDET). Grau 8 (superior incompleto) fica fora das comparações entre médio e superior.</t>
        </is>
      </c>
    </row>
    <row r="20" ht="26.85" customHeight="1" s="14">
      <c r="A20" s="16" t="inlineStr">
        <is>
          <t>Uma ocupação pode receber formados de mais de uma área (ex.: Engenheiro de produção e Administração). Aqui cada ocupação tem uma área principal; essa simplificação deve ser citada como limitação no relatório.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3" min="1" max="1"/>
    <col width="62" customWidth="1" style="13" min="2" max="2"/>
  </cols>
  <sheetData>
    <row r="1" ht="15" customHeight="1" s="14">
      <c r="A1" s="18" t="inlineStr">
        <is>
          <t>area_codigo</t>
        </is>
      </c>
      <c r="B1" s="18" t="inlineStr">
        <is>
          <t>area_nome</t>
        </is>
      </c>
    </row>
    <row r="2" ht="15" customHeight="1" s="14">
      <c r="A2" s="19" t="inlineStr">
        <is>
          <t>00</t>
        </is>
      </c>
      <c r="B2" s="20" t="inlineStr">
        <is>
          <t>Programas básicos</t>
        </is>
      </c>
    </row>
    <row r="3" ht="15" customHeight="1" s="14">
      <c r="A3" s="19" t="inlineStr">
        <is>
          <t>01</t>
        </is>
      </c>
      <c r="B3" s="20" t="inlineStr">
        <is>
          <t>Educação</t>
        </is>
      </c>
    </row>
    <row r="4" ht="15" customHeight="1" s="14">
      <c r="A4" s="19" t="inlineStr">
        <is>
          <t>02</t>
        </is>
      </c>
      <c r="B4" s="20" t="inlineStr">
        <is>
          <t>Artes e humanidades</t>
        </is>
      </c>
    </row>
    <row r="5" ht="15" customHeight="1" s="14">
      <c r="A5" s="19" t="inlineStr">
        <is>
          <t>03</t>
        </is>
      </c>
      <c r="B5" s="20" t="inlineStr">
        <is>
          <t>Ciências sociais, comunicação e informação</t>
        </is>
      </c>
    </row>
    <row r="6" ht="15" customHeight="1" s="14">
      <c r="A6" s="19" t="inlineStr">
        <is>
          <t>04</t>
        </is>
      </c>
      <c r="B6" s="20" t="inlineStr">
        <is>
          <t>Negócios, administração e direito</t>
        </is>
      </c>
    </row>
    <row r="7" ht="15" customHeight="1" s="14">
      <c r="A7" s="19" t="inlineStr">
        <is>
          <t>05</t>
        </is>
      </c>
      <c r="B7" s="20" t="inlineStr">
        <is>
          <t>Ciências naturais, matemática e estatística</t>
        </is>
      </c>
    </row>
    <row r="8" ht="15" customHeight="1" s="14">
      <c r="A8" s="19" t="inlineStr">
        <is>
          <t>06</t>
        </is>
      </c>
      <c r="B8" s="20" t="inlineStr">
        <is>
          <t>Computação e Tecnologias da Informação e Comunicação (TIC)</t>
        </is>
      </c>
    </row>
    <row r="9" ht="15" customHeight="1" s="14">
      <c r="A9" s="19" t="inlineStr">
        <is>
          <t>07</t>
        </is>
      </c>
      <c r="B9" s="20" t="inlineStr">
        <is>
          <t>Engenharia, produção e construção</t>
        </is>
      </c>
    </row>
    <row r="10" ht="15" customHeight="1" s="14">
      <c r="A10" s="19" t="inlineStr">
        <is>
          <t>08</t>
        </is>
      </c>
      <c r="B10" s="20" t="inlineStr">
        <is>
          <t>Agricultura, silvicultura, pesca e veterinária</t>
        </is>
      </c>
    </row>
    <row r="11" ht="15" customHeight="1" s="14">
      <c r="A11" s="19" t="inlineStr">
        <is>
          <t>09</t>
        </is>
      </c>
      <c r="B11" s="20" t="inlineStr">
        <is>
          <t>Saúde e bem-estar</t>
        </is>
      </c>
    </row>
    <row r="12" ht="15" customHeight="1" s="14">
      <c r="A12" s="19" t="inlineStr">
        <is>
          <t>10</t>
        </is>
      </c>
      <c r="B12" s="20" t="inlineStr">
        <is>
          <t>Serviços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18" customWidth="1" style="13" min="2" max="2"/>
    <col width="52" customWidth="1" style="13" min="3" max="3"/>
    <col width="12" customWidth="1" style="13" min="4" max="4"/>
    <col width="46" customWidth="1" style="13" min="5" max="5"/>
    <col width="14" customWidth="1" style="13" min="6" max="6"/>
    <col width="12" customWidth="1" style="13" min="7" max="7"/>
    <col width="52" customWidth="1" style="13" min="8" max="8"/>
    <col width="44" customWidth="1" style="14" min="9" max="9"/>
  </cols>
  <sheetData>
    <row r="1" ht="15" customHeight="1" s="14">
      <c r="A1" s="21" t="inlineStr">
        <is>
          <t>cbo_codigo</t>
        </is>
      </c>
      <c r="B1" s="21" t="inlineStr">
        <is>
          <t>cbo_nivel</t>
        </is>
      </c>
      <c r="C1" s="21" t="inlineStr">
        <is>
          <t>cbo_descricao</t>
        </is>
      </c>
      <c r="D1" s="21" t="inlineStr">
        <is>
          <t>area_codigo</t>
        </is>
      </c>
      <c r="E1" s="21" t="inlineStr">
        <is>
          <t>area_nome</t>
        </is>
      </c>
      <c r="F1" s="21" t="inlineStr">
        <is>
          <t>tipo_vinculo</t>
        </is>
      </c>
      <c r="G1" s="21" t="inlineStr">
        <is>
          <t>confianca</t>
        </is>
      </c>
      <c r="H1" s="21" t="inlineStr">
        <is>
          <t>observacao</t>
        </is>
      </c>
      <c r="I1" s="21" t="inlineStr">
        <is>
          <t>fonte</t>
        </is>
      </c>
    </row>
    <row r="2" ht="26.85" customHeight="1" s="14">
      <c r="A2" s="22" t="inlineStr">
        <is>
          <t>2122</t>
        </is>
      </c>
      <c r="B2" s="16" t="inlineStr">
        <is>
          <t>Família</t>
        </is>
      </c>
      <c r="C2" s="16" t="inlineStr">
        <is>
          <t>Engenheiros em computação</t>
        </is>
      </c>
      <c r="D2" s="22" t="inlineStr">
        <is>
          <t>06</t>
        </is>
      </c>
      <c r="E2" s="16">
        <f>IFERROR(INDEX(CINE_Areas!$B$2:$B$12,MATCH(D2,CINE_Areas!$A$2:$A$12,0)),"Código inválido")</f>
        <v/>
      </c>
      <c r="F2" s="23" t="inlineStr">
        <is>
          <t>Principal</t>
        </is>
      </c>
      <c r="G2" s="23" t="inlineStr">
        <is>
          <t>Média</t>
        </is>
      </c>
      <c r="H2" s="16" t="inlineStr">
        <is>
          <t>Pode receber formados de Engenharia (07)</t>
        </is>
      </c>
      <c r="I2" s="16" t="inlineStr">
        <is>
          <t>CBO 2002 + CINE Brasil (rascunho revisado)</t>
        </is>
      </c>
    </row>
    <row r="3" ht="26.85" customHeight="1" s="14">
      <c r="A3" s="22" t="inlineStr">
        <is>
          <t>2123</t>
        </is>
      </c>
      <c r="B3" s="16" t="inlineStr">
        <is>
          <t>Família</t>
        </is>
      </c>
      <c r="C3" s="16" t="inlineStr">
        <is>
          <t>Administradores de tecnologia da informação</t>
        </is>
      </c>
      <c r="D3" s="22" t="inlineStr">
        <is>
          <t>06</t>
        </is>
      </c>
      <c r="E3" s="16">
        <f>IFERROR(INDEX(CINE_Areas!$B$2:$B$12,MATCH(D3,CINE_Areas!$A$2:$A$12,0)),"Código inválido")</f>
        <v/>
      </c>
      <c r="F3" s="23" t="inlineStr">
        <is>
          <t>Principal</t>
        </is>
      </c>
      <c r="G3" s="23" t="inlineStr">
        <is>
          <t>Média</t>
        </is>
      </c>
      <c r="H3" s="16" t="n"/>
      <c r="I3" s="16" t="inlineStr">
        <is>
          <t>CBO 2002 + CINE Brasil (rascunho revisado)</t>
        </is>
      </c>
    </row>
    <row r="4" ht="26.85" customHeight="1" s="14">
      <c r="A4" s="22" t="inlineStr">
        <is>
          <t>2124</t>
        </is>
      </c>
      <c r="B4" s="16" t="inlineStr">
        <is>
          <t>Família</t>
        </is>
      </c>
      <c r="C4" s="16" t="inlineStr">
        <is>
          <t>Analistas de tecnologia da informação</t>
        </is>
      </c>
      <c r="D4" s="22" t="inlineStr">
        <is>
          <t>06</t>
        </is>
      </c>
      <c r="E4" s="16">
        <f>IFERROR(INDEX(CINE_Areas!$B$2:$B$12,MATCH(D4,CINE_Areas!$A$2:$A$12,0)),"Código inválido")</f>
        <v/>
      </c>
      <c r="F4" s="23" t="inlineStr">
        <is>
          <t>Principal</t>
        </is>
      </c>
      <c r="G4" s="23" t="inlineStr">
        <is>
          <t>Alta</t>
        </is>
      </c>
      <c r="H4" s="16" t="inlineStr">
        <is>
          <t>Família central para cursos de TI e tecnólogos Fatec</t>
        </is>
      </c>
      <c r="I4" s="16" t="inlineStr">
        <is>
          <t>INEP 2024: ADS e Ciência de Dados em 06</t>
        </is>
      </c>
    </row>
    <row r="5" ht="26.85" customHeight="1" s="14">
      <c r="A5" s="22" t="inlineStr">
        <is>
          <t>3171</t>
        </is>
      </c>
      <c r="B5" s="16" t="inlineStr">
        <is>
          <t>Família</t>
        </is>
      </c>
      <c r="C5" s="16" t="inlineStr">
        <is>
          <t>Técnicos de desenvolvimento de sistemas e aplicações</t>
        </is>
      </c>
      <c r="D5" s="22" t="inlineStr">
        <is>
          <t>06</t>
        </is>
      </c>
      <c r="E5" s="16">
        <f>IFERROR(INDEX(CINE_Areas!$B$2:$B$12,MATCH(D5,CINE_Areas!$A$2:$A$12,0)),"Código inválido")</f>
        <v/>
      </c>
      <c r="F5" s="23" t="inlineStr">
        <is>
          <t>Principal</t>
        </is>
      </c>
      <c r="G5" s="23" t="inlineStr">
        <is>
          <t>Média</t>
        </is>
      </c>
      <c r="H5" s="16" t="inlineStr">
        <is>
          <t>Programador: destino típico do tecnólogo em Análise e Desenvolvimento de Sistemas</t>
        </is>
      </c>
      <c r="I5" s="16" t="inlineStr">
        <is>
          <t>INEP 2024: ADS em 06</t>
        </is>
      </c>
    </row>
    <row r="6" ht="26.85" customHeight="1" s="14">
      <c r="A6" s="22" t="inlineStr">
        <is>
          <t>3172</t>
        </is>
      </c>
      <c r="B6" s="16" t="inlineStr">
        <is>
          <t>Família</t>
        </is>
      </c>
      <c r="C6" s="16" t="inlineStr">
        <is>
          <t>Técnicos em operação e monitoração de computadores</t>
        </is>
      </c>
      <c r="D6" s="22" t="inlineStr">
        <is>
          <t>06</t>
        </is>
      </c>
      <c r="E6" s="16">
        <f>IFERROR(INDEX(CINE_Areas!$B$2:$B$12,MATCH(D6,CINE_Areas!$A$2:$A$12,0)),"Código inválido")</f>
        <v/>
      </c>
      <c r="F6" s="23" t="inlineStr">
        <is>
          <t>Secundário</t>
        </is>
      </c>
      <c r="G6" s="23" t="inlineStr">
        <is>
          <t>Média</t>
        </is>
      </c>
      <c r="H6" s="16" t="inlineStr">
        <is>
          <t>Grupo 3 (técnico)</t>
        </is>
      </c>
      <c r="I6" s="16" t="inlineStr">
        <is>
          <t>INEP 2024: ADS e Sistemas para Internet em 06</t>
        </is>
      </c>
    </row>
    <row r="7" ht="15" customHeight="1" s="14">
      <c r="A7" s="22" t="inlineStr">
        <is>
          <t>2111</t>
        </is>
      </c>
      <c r="B7" s="16" t="inlineStr">
        <is>
          <t>Família</t>
        </is>
      </c>
      <c r="C7" s="16" t="inlineStr">
        <is>
          <t>Profissionais da matemática</t>
        </is>
      </c>
      <c r="D7" s="22" t="inlineStr">
        <is>
          <t>05</t>
        </is>
      </c>
      <c r="E7" s="16">
        <f>IFERROR(INDEX(CINE_Areas!$B$2:$B$12,MATCH(D7,CINE_Areas!$A$2:$A$12,0)),"Código inválido")</f>
        <v/>
      </c>
      <c r="F7" s="23" t="inlineStr">
        <is>
          <t>Principal</t>
        </is>
      </c>
      <c r="G7" s="23" t="inlineStr">
        <is>
          <t>Média</t>
        </is>
      </c>
      <c r="H7" s="16" t="n"/>
      <c r="I7" s="16" t="inlineStr">
        <is>
          <t>CBO 2002 + CINE Brasil (rascunho revisado)</t>
        </is>
      </c>
    </row>
    <row r="8" ht="26.85" customHeight="1" s="14">
      <c r="A8" s="22" t="inlineStr">
        <is>
          <t>2112</t>
        </is>
      </c>
      <c r="B8" s="16" t="inlineStr">
        <is>
          <t>Família</t>
        </is>
      </c>
      <c r="C8" s="16" t="inlineStr">
        <is>
          <t>Profissionais de estatística</t>
        </is>
      </c>
      <c r="D8" s="22" t="inlineStr">
        <is>
          <t>05</t>
        </is>
      </c>
      <c r="E8" s="16">
        <f>IFERROR(INDEX(CINE_Areas!$B$2:$B$12,MATCH(D8,CINE_Areas!$A$2:$A$12,0)),"Código inválido")</f>
        <v/>
      </c>
      <c r="F8" s="23" t="inlineStr">
        <is>
          <t>Principal</t>
        </is>
      </c>
      <c r="G8" s="23" t="inlineStr">
        <is>
          <t>Média</t>
        </is>
      </c>
      <c r="H8" s="16" t="inlineStr">
        <is>
          <t>Ciência de Dados pode cair em 05 ou 06 conforme CINE do curso</t>
        </is>
      </c>
      <c r="I8" s="16" t="inlineStr">
        <is>
          <t>CBO 2002 + CINE Brasil (rascunho revisado)</t>
        </is>
      </c>
    </row>
    <row r="9" ht="15" customHeight="1" s="14">
      <c r="A9" s="22" t="inlineStr">
        <is>
          <t>2131</t>
        </is>
      </c>
      <c r="B9" s="16" t="inlineStr">
        <is>
          <t>Família</t>
        </is>
      </c>
      <c r="C9" s="16" t="inlineStr">
        <is>
          <t>Físicos</t>
        </is>
      </c>
      <c r="D9" s="22" t="inlineStr">
        <is>
          <t>05</t>
        </is>
      </c>
      <c r="E9" s="16">
        <f>IFERROR(INDEX(CINE_Areas!$B$2:$B$12,MATCH(D9,CINE_Areas!$A$2:$A$12,0)),"Código inválido")</f>
        <v/>
      </c>
      <c r="F9" s="23" t="inlineStr">
        <is>
          <t>Principal</t>
        </is>
      </c>
      <c r="G9" s="23" t="inlineStr">
        <is>
          <t>Média</t>
        </is>
      </c>
      <c r="H9" s="16" t="n"/>
      <c r="I9" s="16" t="inlineStr">
        <is>
          <t>CBO 2002 + CINE Brasil (rascunho revisado)</t>
        </is>
      </c>
    </row>
    <row r="10" ht="15" customHeight="1" s="14">
      <c r="A10" s="22" t="inlineStr">
        <is>
          <t>2132</t>
        </is>
      </c>
      <c r="B10" s="16" t="inlineStr">
        <is>
          <t>Família</t>
        </is>
      </c>
      <c r="C10" s="16" t="inlineStr">
        <is>
          <t>Químicos</t>
        </is>
      </c>
      <c r="D10" s="22" t="inlineStr">
        <is>
          <t>05</t>
        </is>
      </c>
      <c r="E10" s="16">
        <f>IFERROR(INDEX(CINE_Areas!$B$2:$B$12,MATCH(D10,CINE_Areas!$A$2:$A$12,0)),"Código inválido")</f>
        <v/>
      </c>
      <c r="F10" s="23" t="inlineStr">
        <is>
          <t>Principal</t>
        </is>
      </c>
      <c r="G10" s="23" t="inlineStr">
        <is>
          <t>Média</t>
        </is>
      </c>
      <c r="H10" s="16" t="n"/>
      <c r="I10" s="16" t="inlineStr">
        <is>
          <t>CBO 2002 + CINE Brasil (rascunho revisado)</t>
        </is>
      </c>
    </row>
    <row r="11" ht="15" customHeight="1" s="14">
      <c r="A11" s="22" t="inlineStr">
        <is>
          <t>2134</t>
        </is>
      </c>
      <c r="B11" s="16" t="inlineStr">
        <is>
          <t>Família</t>
        </is>
      </c>
      <c r="C11" s="16" t="inlineStr">
        <is>
          <t>Geólogos e geofísicos</t>
        </is>
      </c>
      <c r="D11" s="22" t="inlineStr">
        <is>
          <t>05</t>
        </is>
      </c>
      <c r="E11" s="16">
        <f>IFERROR(INDEX(CINE_Areas!$B$2:$B$12,MATCH(D11,CINE_Areas!$A$2:$A$12,0)),"Código inválido")</f>
        <v/>
      </c>
      <c r="F11" s="23" t="inlineStr">
        <is>
          <t>Principal</t>
        </is>
      </c>
      <c r="G11" s="23" t="inlineStr">
        <is>
          <t>Média</t>
        </is>
      </c>
      <c r="H11" s="16" t="n"/>
      <c r="I11" s="16" t="inlineStr">
        <is>
          <t>CINE: Geologia em 05</t>
        </is>
      </c>
    </row>
    <row r="12" ht="15" customHeight="1" s="14">
      <c r="A12" s="22" t="inlineStr">
        <is>
          <t>2211</t>
        </is>
      </c>
      <c r="B12" s="16" t="inlineStr">
        <is>
          <t>Família</t>
        </is>
      </c>
      <c r="C12" s="16" t="inlineStr">
        <is>
          <t>Biólogos e afins</t>
        </is>
      </c>
      <c r="D12" s="22" t="inlineStr">
        <is>
          <t>05</t>
        </is>
      </c>
      <c r="E12" s="16">
        <f>IFERROR(INDEX(CINE_Areas!$B$2:$B$12,MATCH(D12,CINE_Areas!$A$2:$A$12,0)),"Código inválido")</f>
        <v/>
      </c>
      <c r="F12" s="23" t="inlineStr">
        <is>
          <t>Principal</t>
        </is>
      </c>
      <c r="G12" s="23" t="inlineStr">
        <is>
          <t>Média</t>
        </is>
      </c>
      <c r="H12" s="16" t="n"/>
      <c r="I12" s="16" t="inlineStr">
        <is>
          <t>CBO 2002 + CINE Brasil (rascunho revisado)</t>
        </is>
      </c>
    </row>
    <row r="13" ht="15" customHeight="1" s="14">
      <c r="A13" s="22" t="inlineStr">
        <is>
          <t>2140</t>
        </is>
      </c>
      <c r="B13" s="16" t="inlineStr">
        <is>
          <t>Família</t>
        </is>
      </c>
      <c r="C13" s="16" t="inlineStr">
        <is>
          <t>Engenheiros ambientais e afins</t>
        </is>
      </c>
      <c r="D13" s="22" t="inlineStr">
        <is>
          <t>07</t>
        </is>
      </c>
      <c r="E13" s="16">
        <f>IFERROR(INDEX(CINE_Areas!$B$2:$B$12,MATCH(D13,CINE_Areas!$A$2:$A$12,0)),"Código inválido")</f>
        <v/>
      </c>
      <c r="F13" s="23" t="inlineStr">
        <is>
          <t>Principal</t>
        </is>
      </c>
      <c r="G13" s="23" t="inlineStr">
        <is>
          <t>Média</t>
        </is>
      </c>
      <c r="H13" s="16" t="n"/>
      <c r="I13" s="16" t="inlineStr">
        <is>
          <t>INEP 2024: Engenharia Ambiental em 07</t>
        </is>
      </c>
    </row>
    <row r="14" ht="15" customHeight="1" s="14">
      <c r="A14" s="22" t="inlineStr">
        <is>
          <t>2141</t>
        </is>
      </c>
      <c r="B14" s="16" t="inlineStr">
        <is>
          <t>Família</t>
        </is>
      </c>
      <c r="C14" s="16" t="inlineStr">
        <is>
          <t>Arquitetos e urbanistas</t>
        </is>
      </c>
      <c r="D14" s="22" t="inlineStr">
        <is>
          <t>07</t>
        </is>
      </c>
      <c r="E14" s="16">
        <f>IFERROR(INDEX(CINE_Areas!$B$2:$B$12,MATCH(D14,CINE_Areas!$A$2:$A$12,0)),"Código inválido")</f>
        <v/>
      </c>
      <c r="F14" s="23" t="inlineStr">
        <is>
          <t>Principal</t>
        </is>
      </c>
      <c r="G14" s="23" t="inlineStr">
        <is>
          <t>Média</t>
        </is>
      </c>
      <c r="H14" s="16" t="n"/>
      <c r="I14" s="16" t="inlineStr">
        <is>
          <t>CBO 2002 + CINE Brasil (rascunho revisado)</t>
        </is>
      </c>
    </row>
    <row r="15" ht="15" customHeight="1" s="14">
      <c r="A15" s="22" t="inlineStr">
        <is>
          <t>2142</t>
        </is>
      </c>
      <c r="B15" s="16" t="inlineStr">
        <is>
          <t>Família</t>
        </is>
      </c>
      <c r="C15" s="16" t="inlineStr">
        <is>
          <t>Engenheiros civis e afins</t>
        </is>
      </c>
      <c r="D15" s="22" t="inlineStr">
        <is>
          <t>07</t>
        </is>
      </c>
      <c r="E15" s="16">
        <f>IFERROR(INDEX(CINE_Areas!$B$2:$B$12,MATCH(D15,CINE_Areas!$A$2:$A$12,0)),"Código inválido")</f>
        <v/>
      </c>
      <c r="F15" s="23" t="inlineStr">
        <is>
          <t>Principal</t>
        </is>
      </c>
      <c r="G15" s="23" t="inlineStr">
        <is>
          <t>Média</t>
        </is>
      </c>
      <c r="H15" s="16" t="n"/>
      <c r="I15" s="16" t="inlineStr">
        <is>
          <t>CBO 2002 + CINE Brasil (rascunho revisado)</t>
        </is>
      </c>
    </row>
    <row r="16" ht="15" customHeight="1" s="14">
      <c r="A16" s="22" t="inlineStr">
        <is>
          <t>2143</t>
        </is>
      </c>
      <c r="B16" s="16" t="inlineStr">
        <is>
          <t>Família</t>
        </is>
      </c>
      <c r="C16" s="16" t="inlineStr">
        <is>
          <t>Engenheiros eletroeletrônicos e afins</t>
        </is>
      </c>
      <c r="D16" s="22" t="inlineStr">
        <is>
          <t>07</t>
        </is>
      </c>
      <c r="E16" s="16">
        <f>IFERROR(INDEX(CINE_Areas!$B$2:$B$12,MATCH(D16,CINE_Areas!$A$2:$A$12,0)),"Código inválido")</f>
        <v/>
      </c>
      <c r="F16" s="23" t="inlineStr">
        <is>
          <t>Principal</t>
        </is>
      </c>
      <c r="G16" s="23" t="inlineStr">
        <is>
          <t>Média</t>
        </is>
      </c>
      <c r="H16" s="16" t="n"/>
      <c r="I16" s="16" t="inlineStr">
        <is>
          <t>CBO 2002 + CINE Brasil (rascunho revisado)</t>
        </is>
      </c>
    </row>
    <row r="17" ht="15" customHeight="1" s="14">
      <c r="A17" s="22" t="inlineStr">
        <is>
          <t>2144</t>
        </is>
      </c>
      <c r="B17" s="16" t="inlineStr">
        <is>
          <t>Família</t>
        </is>
      </c>
      <c r="C17" s="16" t="inlineStr">
        <is>
          <t>Engenheiros mecânicos</t>
        </is>
      </c>
      <c r="D17" s="22" t="inlineStr">
        <is>
          <t>07</t>
        </is>
      </c>
      <c r="E17" s="16">
        <f>IFERROR(INDEX(CINE_Areas!$B$2:$B$12,MATCH(D17,CINE_Areas!$A$2:$A$12,0)),"Código inválido")</f>
        <v/>
      </c>
      <c r="F17" s="23" t="inlineStr">
        <is>
          <t>Principal</t>
        </is>
      </c>
      <c r="G17" s="23" t="inlineStr">
        <is>
          <t>Média</t>
        </is>
      </c>
      <c r="H17" s="16" t="n"/>
      <c r="I17" s="16" t="inlineStr">
        <is>
          <t>CBO 2002 + CINE Brasil (rascunho revisado)</t>
        </is>
      </c>
    </row>
    <row r="18" ht="15" customHeight="1" s="14">
      <c r="A18" s="22" t="inlineStr">
        <is>
          <t>2145</t>
        </is>
      </c>
      <c r="B18" s="16" t="inlineStr">
        <is>
          <t>Família</t>
        </is>
      </c>
      <c r="C18" s="16" t="inlineStr">
        <is>
          <t>Engenheiros químicos</t>
        </is>
      </c>
      <c r="D18" s="22" t="inlineStr">
        <is>
          <t>07</t>
        </is>
      </c>
      <c r="E18" s="16">
        <f>IFERROR(INDEX(CINE_Areas!$B$2:$B$12,MATCH(D18,CINE_Areas!$A$2:$A$12,0)),"Código inválido")</f>
        <v/>
      </c>
      <c r="F18" s="23" t="inlineStr">
        <is>
          <t>Principal</t>
        </is>
      </c>
      <c r="G18" s="23" t="inlineStr">
        <is>
          <t>Média</t>
        </is>
      </c>
      <c r="H18" s="16" t="n"/>
      <c r="I18" s="16" t="inlineStr">
        <is>
          <t>CBO 2002 + CINE Brasil (rascunho revisado)</t>
        </is>
      </c>
    </row>
    <row r="19" ht="15" customHeight="1" s="14">
      <c r="A19" s="22" t="inlineStr">
        <is>
          <t>2146</t>
        </is>
      </c>
      <c r="B19" s="16" t="inlineStr">
        <is>
          <t>Família</t>
        </is>
      </c>
      <c r="C19" s="16" t="inlineStr">
        <is>
          <t>Engenheiros metalurgistas e de materiais</t>
        </is>
      </c>
      <c r="D19" s="22" t="inlineStr">
        <is>
          <t>07</t>
        </is>
      </c>
      <c r="E19" s="16">
        <f>IFERROR(INDEX(CINE_Areas!$B$2:$B$12,MATCH(D19,CINE_Areas!$A$2:$A$12,0)),"Código inválido")</f>
        <v/>
      </c>
      <c r="F19" s="23" t="inlineStr">
        <is>
          <t>Principal</t>
        </is>
      </c>
      <c r="G19" s="23" t="inlineStr">
        <is>
          <t>Média</t>
        </is>
      </c>
      <c r="H19" s="16" t="n"/>
      <c r="I19" s="16" t="inlineStr">
        <is>
          <t>CBO 2002 + CINE Brasil (rascunho revisado)</t>
        </is>
      </c>
    </row>
    <row r="20" ht="15" customHeight="1" s="14">
      <c r="A20" s="22" t="inlineStr">
        <is>
          <t>2149</t>
        </is>
      </c>
      <c r="B20" s="16" t="inlineStr">
        <is>
          <t>Família</t>
        </is>
      </c>
      <c r="C20" s="16" t="inlineStr">
        <is>
          <t>Engenheiros de produção, qualidade e segurança</t>
        </is>
      </c>
      <c r="D20" s="22" t="inlineStr">
        <is>
          <t>07</t>
        </is>
      </c>
      <c r="E20" s="16">
        <f>IFERROR(INDEX(CINE_Areas!$B$2:$B$12,MATCH(D20,CINE_Areas!$A$2:$A$12,0)),"Código inválido")</f>
        <v/>
      </c>
      <c r="F20" s="23" t="inlineStr">
        <is>
          <t>Principal</t>
        </is>
      </c>
      <c r="G20" s="23" t="inlineStr">
        <is>
          <t>Média</t>
        </is>
      </c>
      <c r="H20" s="16" t="inlineStr">
        <is>
          <t>Formados em Administração (04) também ocupam</t>
        </is>
      </c>
      <c r="I20" s="16" t="inlineStr">
        <is>
          <t>CBO 2002 + CINE Brasil (rascunho revisado)</t>
        </is>
      </c>
    </row>
    <row r="21" ht="15" customHeight="1" s="14">
      <c r="A21" s="22" t="inlineStr">
        <is>
          <t>2221</t>
        </is>
      </c>
      <c r="B21" s="16" t="inlineStr">
        <is>
          <t>Família</t>
        </is>
      </c>
      <c r="C21" s="16" t="inlineStr">
        <is>
          <t>Engenheiros agrossilvipecuários</t>
        </is>
      </c>
      <c r="D21" s="22" t="inlineStr">
        <is>
          <t>08</t>
        </is>
      </c>
      <c r="E21" s="16">
        <f>IFERROR(INDEX(CINE_Areas!$B$2:$B$12,MATCH(D21,CINE_Areas!$A$2:$A$12,0)),"Código inválido")</f>
        <v/>
      </c>
      <c r="F21" s="23" t="inlineStr">
        <is>
          <t>Principal</t>
        </is>
      </c>
      <c r="G21" s="23" t="inlineStr">
        <is>
          <t>Média</t>
        </is>
      </c>
      <c r="H21" s="16" t="n"/>
      <c r="I21" s="16" t="inlineStr">
        <is>
          <t>CBO 2002 + CINE Brasil (rascunho revisado)</t>
        </is>
      </c>
    </row>
    <row r="22" ht="15" customHeight="1" s="14">
      <c r="A22" s="22" t="inlineStr">
        <is>
          <t>2233</t>
        </is>
      </c>
      <c r="B22" s="16" t="inlineStr">
        <is>
          <t>Família</t>
        </is>
      </c>
      <c r="C22" s="16" t="inlineStr">
        <is>
          <t>Médicos veterinários</t>
        </is>
      </c>
      <c r="D22" s="22" t="inlineStr">
        <is>
          <t>08</t>
        </is>
      </c>
      <c r="E22" s="16">
        <f>IFERROR(INDEX(CINE_Areas!$B$2:$B$12,MATCH(D22,CINE_Areas!$A$2:$A$12,0)),"Código inválido")</f>
        <v/>
      </c>
      <c r="F22" s="23" t="inlineStr">
        <is>
          <t>Principal</t>
        </is>
      </c>
      <c r="G22" s="23" t="inlineStr">
        <is>
          <t>Alta</t>
        </is>
      </c>
      <c r="H22" s="16" t="inlineStr">
        <is>
          <t>CINE classifica Veterinária em 08</t>
        </is>
      </c>
      <c r="I22" s="16" t="inlineStr">
        <is>
          <t>INEP 2024: Medicina Veterinária em 08</t>
        </is>
      </c>
    </row>
    <row r="23" ht="15" customHeight="1" s="14">
      <c r="A23" s="22" t="inlineStr">
        <is>
          <t>2212</t>
        </is>
      </c>
      <c r="B23" s="16" t="inlineStr">
        <is>
          <t>Família</t>
        </is>
      </c>
      <c r="C23" s="16" t="inlineStr">
        <is>
          <t>Biomédicos</t>
        </is>
      </c>
      <c r="D23" s="22" t="inlineStr">
        <is>
          <t>09</t>
        </is>
      </c>
      <c r="E23" s="16">
        <f>IFERROR(INDEX(CINE_Areas!$B$2:$B$12,MATCH(D23,CINE_Areas!$A$2:$A$12,0)),"Código inválido")</f>
        <v/>
      </c>
      <c r="F23" s="23" t="inlineStr">
        <is>
          <t>Principal</t>
        </is>
      </c>
      <c r="G23" s="23" t="inlineStr">
        <is>
          <t>Alta</t>
        </is>
      </c>
      <c r="H23" s="16" t="n"/>
      <c r="I23" s="16" t="inlineStr">
        <is>
          <t>INEP 2024: Biomedicina em 09</t>
        </is>
      </c>
    </row>
    <row r="24" ht="15" customHeight="1" s="14">
      <c r="A24" s="22" t="inlineStr">
        <is>
          <t>2232</t>
        </is>
      </c>
      <c r="B24" s="16" t="inlineStr">
        <is>
          <t>Família</t>
        </is>
      </c>
      <c r="C24" s="16" t="inlineStr">
        <is>
          <t>Cirurgiões-dentistas</t>
        </is>
      </c>
      <c r="D24" s="22" t="inlineStr">
        <is>
          <t>09</t>
        </is>
      </c>
      <c r="E24" s="16">
        <f>IFERROR(INDEX(CINE_Areas!$B$2:$B$12,MATCH(D24,CINE_Areas!$A$2:$A$12,0)),"Código inválido")</f>
        <v/>
      </c>
      <c r="F24" s="23" t="inlineStr">
        <is>
          <t>Principal</t>
        </is>
      </c>
      <c r="G24" s="23" t="inlineStr">
        <is>
          <t>Média</t>
        </is>
      </c>
      <c r="H24" s="16" t="n"/>
      <c r="I24" s="16" t="inlineStr">
        <is>
          <t>CBO 2002 + CINE Brasil (rascunho revisado)</t>
        </is>
      </c>
    </row>
    <row r="25" ht="15" customHeight="1" s="14">
      <c r="A25" s="22" t="inlineStr">
        <is>
          <t>2234</t>
        </is>
      </c>
      <c r="B25" s="16" t="inlineStr">
        <is>
          <t>Família</t>
        </is>
      </c>
      <c r="C25" s="16" t="inlineStr">
        <is>
          <t>Farmacêuticos</t>
        </is>
      </c>
      <c r="D25" s="22" t="inlineStr">
        <is>
          <t>09</t>
        </is>
      </c>
      <c r="E25" s="16">
        <f>IFERROR(INDEX(CINE_Areas!$B$2:$B$12,MATCH(D25,CINE_Areas!$A$2:$A$12,0)),"Código inválido")</f>
        <v/>
      </c>
      <c r="F25" s="23" t="inlineStr">
        <is>
          <t>Principal</t>
        </is>
      </c>
      <c r="G25" s="23" t="inlineStr">
        <is>
          <t>Média</t>
        </is>
      </c>
      <c r="H25" s="16" t="n"/>
      <c r="I25" s="16" t="inlineStr">
        <is>
          <t>CBO 2002 + CINE Brasil (rascunho revisado)</t>
        </is>
      </c>
    </row>
    <row r="26" ht="15" customHeight="1" s="14">
      <c r="A26" s="22" t="inlineStr">
        <is>
          <t>2235</t>
        </is>
      </c>
      <c r="B26" s="16" t="inlineStr">
        <is>
          <t>Família</t>
        </is>
      </c>
      <c r="C26" s="16" t="inlineStr">
        <is>
          <t>Enfermeiros e afins</t>
        </is>
      </c>
      <c r="D26" s="22" t="inlineStr">
        <is>
          <t>09</t>
        </is>
      </c>
      <c r="E26" s="16">
        <f>IFERROR(INDEX(CINE_Areas!$B$2:$B$12,MATCH(D26,CINE_Areas!$A$2:$A$12,0)),"Código inválido")</f>
        <v/>
      </c>
      <c r="F26" s="23" t="inlineStr">
        <is>
          <t>Principal</t>
        </is>
      </c>
      <c r="G26" s="23" t="inlineStr">
        <is>
          <t>Média</t>
        </is>
      </c>
      <c r="H26" s="16" t="n"/>
      <c r="I26" s="16" t="inlineStr">
        <is>
          <t>CBO 2002 + CINE Brasil (rascunho revisado)</t>
        </is>
      </c>
    </row>
    <row r="27" ht="15" customHeight="1" s="14">
      <c r="A27" s="22" t="inlineStr">
        <is>
          <t>2236</t>
        </is>
      </c>
      <c r="B27" s="16" t="inlineStr">
        <is>
          <t>Família</t>
        </is>
      </c>
      <c r="C27" s="16" t="inlineStr">
        <is>
          <t>Fisioterapeutas</t>
        </is>
      </c>
      <c r="D27" s="22" t="inlineStr">
        <is>
          <t>09</t>
        </is>
      </c>
      <c r="E27" s="16">
        <f>IFERROR(INDEX(CINE_Areas!$B$2:$B$12,MATCH(D27,CINE_Areas!$A$2:$A$12,0)),"Código inválido")</f>
        <v/>
      </c>
      <c r="F27" s="23" t="inlineStr">
        <is>
          <t>Principal</t>
        </is>
      </c>
      <c r="G27" s="23" t="inlineStr">
        <is>
          <t>Média</t>
        </is>
      </c>
      <c r="H27" s="16" t="n"/>
      <c r="I27" s="16" t="inlineStr">
        <is>
          <t>CBO 2002 + CINE Brasil (rascunho revisado)</t>
        </is>
      </c>
    </row>
    <row r="28" ht="15" customHeight="1" s="14">
      <c r="A28" s="22" t="inlineStr">
        <is>
          <t>2237</t>
        </is>
      </c>
      <c r="B28" s="16" t="inlineStr">
        <is>
          <t>Família</t>
        </is>
      </c>
      <c r="C28" s="16" t="inlineStr">
        <is>
          <t>Nutricionistas</t>
        </is>
      </c>
      <c r="D28" s="22" t="inlineStr">
        <is>
          <t>09</t>
        </is>
      </c>
      <c r="E28" s="16">
        <f>IFERROR(INDEX(CINE_Areas!$B$2:$B$12,MATCH(D28,CINE_Areas!$A$2:$A$12,0)),"Código inválido")</f>
        <v/>
      </c>
      <c r="F28" s="23" t="inlineStr">
        <is>
          <t>Principal</t>
        </is>
      </c>
      <c r="G28" s="23" t="inlineStr">
        <is>
          <t>Média</t>
        </is>
      </c>
      <c r="H28" s="16" t="n"/>
      <c r="I28" s="16" t="inlineStr">
        <is>
          <t>CBO 2002 + CINE Brasil (rascunho revisado)</t>
        </is>
      </c>
    </row>
    <row r="29" ht="15" customHeight="1" s="14">
      <c r="A29" s="22" t="inlineStr">
        <is>
          <t>2238</t>
        </is>
      </c>
      <c r="B29" s="16" t="inlineStr">
        <is>
          <t>Família</t>
        </is>
      </c>
      <c r="C29" s="16" t="inlineStr">
        <is>
          <t>Fonoaudiólogos</t>
        </is>
      </c>
      <c r="D29" s="22" t="inlineStr">
        <is>
          <t>09</t>
        </is>
      </c>
      <c r="E29" s="16">
        <f>IFERROR(INDEX(CINE_Areas!$B$2:$B$12,MATCH(D29,CINE_Areas!$A$2:$A$12,0)),"Código inválido")</f>
        <v/>
      </c>
      <c r="F29" s="23" t="inlineStr">
        <is>
          <t>Principal</t>
        </is>
      </c>
      <c r="G29" s="23" t="inlineStr">
        <is>
          <t>Média</t>
        </is>
      </c>
      <c r="H29" s="16" t="n"/>
      <c r="I29" s="16" t="inlineStr">
        <is>
          <t>CBO 2002 + CINE Brasil (rascunho revisado)</t>
        </is>
      </c>
    </row>
    <row r="30" ht="15" customHeight="1" s="14">
      <c r="A30" s="22" t="inlineStr">
        <is>
          <t>2251</t>
        </is>
      </c>
      <c r="B30" s="16" t="inlineStr">
        <is>
          <t>Família</t>
        </is>
      </c>
      <c r="C30" s="16" t="inlineStr">
        <is>
          <t>Médicos clínicos</t>
        </is>
      </c>
      <c r="D30" s="22" t="inlineStr">
        <is>
          <t>09</t>
        </is>
      </c>
      <c r="E30" s="16">
        <f>IFERROR(INDEX(CINE_Areas!$B$2:$B$12,MATCH(D30,CINE_Areas!$A$2:$A$12,0)),"Código inválido")</f>
        <v/>
      </c>
      <c r="F30" s="23" t="inlineStr">
        <is>
          <t>Principal</t>
        </is>
      </c>
      <c r="G30" s="23" t="inlineStr">
        <is>
          <t>Média</t>
        </is>
      </c>
      <c r="H30" s="16" t="n"/>
      <c r="I30" s="16" t="inlineStr">
        <is>
          <t>CBO 2002 + CINE Brasil (rascunho revisado)</t>
        </is>
      </c>
    </row>
    <row r="31" ht="15" customHeight="1" s="14">
      <c r="A31" s="22" t="inlineStr">
        <is>
          <t>2252</t>
        </is>
      </c>
      <c r="B31" s="16" t="inlineStr">
        <is>
          <t>Família</t>
        </is>
      </c>
      <c r="C31" s="16" t="inlineStr">
        <is>
          <t>Médicos em especialidades cirúrgicas</t>
        </is>
      </c>
      <c r="D31" s="22" t="inlineStr">
        <is>
          <t>09</t>
        </is>
      </c>
      <c r="E31" s="16">
        <f>IFERROR(INDEX(CINE_Areas!$B$2:$B$12,MATCH(D31,CINE_Areas!$A$2:$A$12,0)),"Código inválido")</f>
        <v/>
      </c>
      <c r="F31" s="23" t="inlineStr">
        <is>
          <t>Principal</t>
        </is>
      </c>
      <c r="G31" s="23" t="inlineStr">
        <is>
          <t>Média</t>
        </is>
      </c>
      <c r="H31" s="16" t="n"/>
      <c r="I31" s="16" t="inlineStr">
        <is>
          <t>CBO 2002 + CINE Brasil (rascunho revisado)</t>
        </is>
      </c>
    </row>
    <row r="32" ht="15" customHeight="1" s="14">
      <c r="A32" s="22" t="inlineStr">
        <is>
          <t>2253</t>
        </is>
      </c>
      <c r="B32" s="16" t="inlineStr">
        <is>
          <t>Família</t>
        </is>
      </c>
      <c r="C32" s="16" t="inlineStr">
        <is>
          <t>Médicos em medicina diagnóstica e terapêutica</t>
        </is>
      </c>
      <c r="D32" s="22" t="inlineStr">
        <is>
          <t>09</t>
        </is>
      </c>
      <c r="E32" s="16">
        <f>IFERROR(INDEX(CINE_Areas!$B$2:$B$12,MATCH(D32,CINE_Areas!$A$2:$A$12,0)),"Código inválido")</f>
        <v/>
      </c>
      <c r="F32" s="23" t="inlineStr">
        <is>
          <t>Principal</t>
        </is>
      </c>
      <c r="G32" s="23" t="inlineStr">
        <is>
          <t>Média</t>
        </is>
      </c>
      <c r="H32" s="16" t="n"/>
      <c r="I32" s="16" t="inlineStr">
        <is>
          <t>CBO 2002 + CINE Brasil (rascunho revisado)</t>
        </is>
      </c>
    </row>
    <row r="33" ht="15" customHeight="1" s="14">
      <c r="A33" s="22" t="inlineStr">
        <is>
          <t>2515</t>
        </is>
      </c>
      <c r="B33" s="16" t="inlineStr">
        <is>
          <t>Família</t>
        </is>
      </c>
      <c r="C33" s="16" t="inlineStr">
        <is>
          <t>Psicólogos e psicanalistas</t>
        </is>
      </c>
      <c r="D33" s="22" t="inlineStr">
        <is>
          <t>03</t>
        </is>
      </c>
      <c r="E33" s="16">
        <f>IFERROR(INDEX(CINE_Areas!$B$2:$B$12,MATCH(D33,CINE_Areas!$A$2:$A$12,0)),"Código inválido")</f>
        <v/>
      </c>
      <c r="F33" s="23" t="inlineStr">
        <is>
          <t>Principal</t>
        </is>
      </c>
      <c r="G33" s="23" t="inlineStr">
        <is>
          <t>Alta</t>
        </is>
      </c>
      <c r="H33" s="16" t="inlineStr">
        <is>
          <t>INEP coloca Psicologia em 03</t>
        </is>
      </c>
      <c r="I33" s="16" t="inlineStr">
        <is>
          <t>INEP 2024: Psicologia em 03</t>
        </is>
      </c>
    </row>
    <row r="34" ht="26.85" customHeight="1" s="14">
      <c r="A34" s="22" t="inlineStr">
        <is>
          <t>2516</t>
        </is>
      </c>
      <c r="B34" s="16" t="inlineStr">
        <is>
          <t>Família</t>
        </is>
      </c>
      <c r="C34" s="16" t="inlineStr">
        <is>
          <t>Assistentes sociais e economistas domésticos</t>
        </is>
      </c>
      <c r="D34" s="22" t="inlineStr">
        <is>
          <t>09</t>
        </is>
      </c>
      <c r="E34" s="16">
        <f>IFERROR(INDEX(CINE_Areas!$B$2:$B$12,MATCH(D34,CINE_Areas!$A$2:$A$12,0)),"Código inválido")</f>
        <v/>
      </c>
      <c r="F34" s="23" t="inlineStr">
        <is>
          <t>Principal</t>
        </is>
      </c>
      <c r="G34" s="23" t="inlineStr">
        <is>
          <t>Alta</t>
        </is>
      </c>
      <c r="H34" s="16" t="inlineStr">
        <is>
          <t>CINE coloca Serviço Social em 09</t>
        </is>
      </c>
      <c r="I34" s="16" t="inlineStr">
        <is>
          <t>INEP 2024: Serviço Social em 09</t>
        </is>
      </c>
    </row>
    <row r="35" ht="15" customHeight="1" s="14">
      <c r="A35" s="22" t="inlineStr">
        <is>
          <t>2241</t>
        </is>
      </c>
      <c r="B35" s="16" t="inlineStr">
        <is>
          <t>Família</t>
        </is>
      </c>
      <c r="C35" s="16" t="inlineStr">
        <is>
          <t>Profissionais da educação física</t>
        </is>
      </c>
      <c r="D35" s="22" t="inlineStr">
        <is>
          <t>09</t>
        </is>
      </c>
      <c r="E35" s="16">
        <f>IFERROR(INDEX(CINE_Areas!$B$2:$B$12,MATCH(D35,CINE_Areas!$A$2:$A$12,0)),"Código inválido")</f>
        <v/>
      </c>
      <c r="F35" s="23" t="inlineStr">
        <is>
          <t>Principal</t>
        </is>
      </c>
      <c r="G35" s="23" t="inlineStr">
        <is>
          <t>Média</t>
        </is>
      </c>
      <c r="H35" s="16" t="inlineStr">
        <is>
          <t>Bacharelado em 09; licenciatura em Educação Física cai em 01</t>
        </is>
      </c>
      <c r="I35" s="16" t="inlineStr">
        <is>
          <t>INEP 2024: Educação Física (bacharelado) em 09</t>
        </is>
      </c>
    </row>
    <row r="36" ht="15" customHeight="1" s="14">
      <c r="A36" s="22" t="inlineStr">
        <is>
          <t>23</t>
        </is>
      </c>
      <c r="B36" s="16" t="inlineStr">
        <is>
          <t>Subgrupo principal</t>
        </is>
      </c>
      <c r="C36" s="16" t="inlineStr">
        <is>
          <t>Profissionais do ensino (todas as famílias 23xx)</t>
        </is>
      </c>
      <c r="D36" s="22" t="inlineStr">
        <is>
          <t>01</t>
        </is>
      </c>
      <c r="E36" s="16">
        <f>IFERROR(INDEX(CINE_Areas!$B$2:$B$12,MATCH(D36,CINE_Areas!$A$2:$A$12,0)),"Código inválido")</f>
        <v/>
      </c>
      <c r="F36" s="23" t="inlineStr">
        <is>
          <t>Principal</t>
        </is>
      </c>
      <c r="G36" s="23" t="inlineStr">
        <is>
          <t>Alta</t>
        </is>
      </c>
      <c r="H36" s="16" t="inlineStr">
        <is>
          <t>Mapear no nível de 2 dígitos</t>
        </is>
      </c>
      <c r="I36" s="16" t="inlineStr">
        <is>
          <t>CBO 2002 + CINE Brasil (rascunho revisado)</t>
        </is>
      </c>
    </row>
    <row r="37" ht="15" customHeight="1" s="14">
      <c r="A37" s="22" t="inlineStr">
        <is>
          <t>24</t>
        </is>
      </c>
      <c r="B37" s="16" t="inlineStr">
        <is>
          <t>Subgrupo principal</t>
        </is>
      </c>
      <c r="C37" s="16" t="inlineStr">
        <is>
          <t>Profissionais das ciências jurídicas (24xx)</t>
        </is>
      </c>
      <c r="D37" s="22" t="inlineStr">
        <is>
          <t>04</t>
        </is>
      </c>
      <c r="E37" s="16">
        <f>IFERROR(INDEX(CINE_Areas!$B$2:$B$12,MATCH(D37,CINE_Areas!$A$2:$A$12,0)),"Código inválido")</f>
        <v/>
      </c>
      <c r="F37" s="23" t="inlineStr">
        <is>
          <t>Principal</t>
        </is>
      </c>
      <c r="G37" s="23" t="inlineStr">
        <is>
          <t>Alta</t>
        </is>
      </c>
      <c r="H37" s="16" t="inlineStr">
        <is>
          <t>Direito está em 04 na CINE</t>
        </is>
      </c>
      <c r="I37" s="16" t="inlineStr">
        <is>
          <t>CBO 2002 + CINE Brasil (rascunho revisado)</t>
        </is>
      </c>
    </row>
    <row r="38" ht="15" customHeight="1" s="14">
      <c r="A38" s="22" t="inlineStr">
        <is>
          <t>2521</t>
        </is>
      </c>
      <c r="B38" s="16" t="inlineStr">
        <is>
          <t>Família</t>
        </is>
      </c>
      <c r="C38" s="16" t="inlineStr">
        <is>
          <t>Administradores</t>
        </is>
      </c>
      <c r="D38" s="22" t="inlineStr">
        <is>
          <t>04</t>
        </is>
      </c>
      <c r="E38" s="16">
        <f>IFERROR(INDEX(CINE_Areas!$B$2:$B$12,MATCH(D38,CINE_Areas!$A$2:$A$12,0)),"Código inválido")</f>
        <v/>
      </c>
      <c r="F38" s="23" t="inlineStr">
        <is>
          <t>Principal</t>
        </is>
      </c>
      <c r="G38" s="23" t="inlineStr">
        <is>
          <t>Média</t>
        </is>
      </c>
      <c r="H38" s="16" t="n"/>
      <c r="I38" s="16" t="inlineStr">
        <is>
          <t>CBO 2002 + CINE Brasil (rascunho revisado)</t>
        </is>
      </c>
    </row>
    <row r="39" ht="15" customHeight="1" s="14">
      <c r="A39" s="22" t="inlineStr">
        <is>
          <t>2522</t>
        </is>
      </c>
      <c r="B39" s="16" t="inlineStr">
        <is>
          <t>Família</t>
        </is>
      </c>
      <c r="C39" s="16" t="inlineStr">
        <is>
          <t>Contadores e afins</t>
        </is>
      </c>
      <c r="D39" s="22" t="inlineStr">
        <is>
          <t>04</t>
        </is>
      </c>
      <c r="E39" s="16">
        <f>IFERROR(INDEX(CINE_Areas!$B$2:$B$12,MATCH(D39,CINE_Areas!$A$2:$A$12,0)),"Código inválido")</f>
        <v/>
      </c>
      <c r="F39" s="23" t="inlineStr">
        <is>
          <t>Principal</t>
        </is>
      </c>
      <c r="G39" s="23" t="inlineStr">
        <is>
          <t>Média</t>
        </is>
      </c>
      <c r="H39" s="16" t="n"/>
      <c r="I39" s="16" t="inlineStr">
        <is>
          <t>CBO 2002 + CINE Brasil (rascunho revisado)</t>
        </is>
      </c>
    </row>
    <row r="40" ht="15" customHeight="1" s="14">
      <c r="A40" s="22" t="inlineStr">
        <is>
          <t>2523</t>
        </is>
      </c>
      <c r="B40" s="16" t="inlineStr">
        <is>
          <t>Família</t>
        </is>
      </c>
      <c r="C40" s="16" t="inlineStr">
        <is>
          <t>Secretárias(os) executivas(os) e afins</t>
        </is>
      </c>
      <c r="D40" s="22" t="inlineStr">
        <is>
          <t>04</t>
        </is>
      </c>
      <c r="E40" s="16">
        <f>IFERROR(INDEX(CINE_Areas!$B$2:$B$12,MATCH(D40,CINE_Areas!$A$2:$A$12,0)),"Código inválido")</f>
        <v/>
      </c>
      <c r="F40" s="23" t="inlineStr">
        <is>
          <t>Principal</t>
        </is>
      </c>
      <c r="G40" s="23" t="inlineStr">
        <is>
          <t>Alta</t>
        </is>
      </c>
      <c r="H40" s="16" t="n"/>
      <c r="I40" s="16" t="inlineStr">
        <is>
          <t>INEP 2024: Secretariado em 04</t>
        </is>
      </c>
    </row>
    <row r="41" ht="15" customHeight="1" s="14">
      <c r="A41" s="22" t="inlineStr">
        <is>
          <t>2524</t>
        </is>
      </c>
      <c r="B41" s="16" t="inlineStr">
        <is>
          <t>Família</t>
        </is>
      </c>
      <c r="C41" s="16" t="inlineStr">
        <is>
          <t>Profissionais de recursos humanos</t>
        </is>
      </c>
      <c r="D41" s="22" t="inlineStr">
        <is>
          <t>04</t>
        </is>
      </c>
      <c r="E41" s="16">
        <f>IFERROR(INDEX(CINE_Areas!$B$2:$B$12,MATCH(D41,CINE_Areas!$A$2:$A$12,0)),"Código inválido")</f>
        <v/>
      </c>
      <c r="F41" s="23" t="inlineStr">
        <is>
          <t>Principal</t>
        </is>
      </c>
      <c r="G41" s="23" t="inlineStr">
        <is>
          <t>Alta</t>
        </is>
      </c>
      <c r="H41" s="16" t="n"/>
      <c r="I41" s="16" t="inlineStr">
        <is>
          <t>INEP 2024: Recursos Humanos em 04</t>
        </is>
      </c>
    </row>
    <row r="42" ht="15" customHeight="1" s="14">
      <c r="A42" s="22" t="inlineStr">
        <is>
          <t>2525</t>
        </is>
      </c>
      <c r="B42" s="16" t="inlineStr">
        <is>
          <t>Família</t>
        </is>
      </c>
      <c r="C42" s="16" t="inlineStr">
        <is>
          <t>Profissionais de administração econômico-financeira</t>
        </is>
      </c>
      <c r="D42" s="22" t="inlineStr">
        <is>
          <t>04</t>
        </is>
      </c>
      <c r="E42" s="16">
        <f>IFERROR(INDEX(CINE_Areas!$B$2:$B$12,MATCH(D42,CINE_Areas!$A$2:$A$12,0)),"Código inválido")</f>
        <v/>
      </c>
      <c r="F42" s="23" t="inlineStr">
        <is>
          <t>Principal</t>
        </is>
      </c>
      <c r="G42" s="23" t="inlineStr">
        <is>
          <t>Média</t>
        </is>
      </c>
      <c r="H42" s="16" t="n"/>
      <c r="I42" s="16" t="inlineStr">
        <is>
          <t>CBO 2002 + CINE Brasil (rascunho revisado)</t>
        </is>
      </c>
    </row>
    <row r="43" ht="26.85" customHeight="1" s="14">
      <c r="A43" s="22" t="inlineStr">
        <is>
          <t>2531</t>
        </is>
      </c>
      <c r="B43" s="16" t="inlineStr">
        <is>
          <t>Família</t>
        </is>
      </c>
      <c r="C43" s="16" t="inlineStr">
        <is>
          <t>Profissionais de relações públicas, publicidade, mercado e negócios</t>
        </is>
      </c>
      <c r="D43" s="22" t="inlineStr">
        <is>
          <t>04</t>
        </is>
      </c>
      <c r="E43" s="16">
        <f>IFERROR(INDEX(CINE_Areas!$B$2:$B$12,MATCH(D43,CINE_Areas!$A$2:$A$12,0)),"Código inválido")</f>
        <v/>
      </c>
      <c r="F43" s="23" t="inlineStr">
        <is>
          <t>Principal</t>
        </is>
      </c>
      <c r="G43" s="23" t="inlineStr">
        <is>
          <t>Média</t>
        </is>
      </c>
      <c r="H43" s="16" t="inlineStr">
        <is>
          <t>Publicidade às vezes em 03 (Comunicação)</t>
        </is>
      </c>
      <c r="I43" s="16" t="inlineStr">
        <is>
          <t>INEP 2024: Marketing e Publicidade em 04</t>
        </is>
      </c>
    </row>
    <row r="44" ht="26.85" customHeight="1" s="14">
      <c r="A44" s="22" t="inlineStr">
        <is>
          <t>1</t>
        </is>
      </c>
      <c r="B44" s="16" t="inlineStr">
        <is>
          <t>Grande grupo</t>
        </is>
      </c>
      <c r="C44" s="16" t="inlineStr">
        <is>
          <t>Dirigentes e gerentes sem família própria no de-para (1xxx)</t>
        </is>
      </c>
      <c r="D44" s="22" t="inlineStr">
        <is>
          <t>04</t>
        </is>
      </c>
      <c r="E44" s="16">
        <f>IFERROR(INDEX(CINE_Areas!$B$2:$B$12,MATCH(D44,CINE_Areas!$A$2:$A$12,0)),"Código inválido")</f>
        <v/>
      </c>
      <c r="F44" s="23" t="inlineStr">
        <is>
          <t>Secundário</t>
        </is>
      </c>
      <c r="G44" s="23" t="inlineStr">
        <is>
          <t>Média</t>
        </is>
      </c>
      <c r="H44" s="16" t="inlineStr">
        <is>
          <t>Regra geral; famílias 14xx têm linhas próprias</t>
        </is>
      </c>
      <c r="I44" s="16" t="inlineStr">
        <is>
          <t>CBO 2002 + CINE Brasil (rascunho revisado)</t>
        </is>
      </c>
    </row>
    <row r="45" ht="15" customHeight="1" s="14">
      <c r="A45" s="22" t="inlineStr">
        <is>
          <t>2511</t>
        </is>
      </c>
      <c r="B45" s="16" t="inlineStr">
        <is>
          <t>Família</t>
        </is>
      </c>
      <c r="C45" s="16" t="inlineStr">
        <is>
          <t>Antropólogos, arqueólogos e sociólogos</t>
        </is>
      </c>
      <c r="D45" s="22" t="inlineStr">
        <is>
          <t>03</t>
        </is>
      </c>
      <c r="E45" s="16">
        <f>IFERROR(INDEX(CINE_Areas!$B$2:$B$12,MATCH(D45,CINE_Areas!$A$2:$A$12,0)),"Código inválido")</f>
        <v/>
      </c>
      <c r="F45" s="23" t="inlineStr">
        <is>
          <t>Principal</t>
        </is>
      </c>
      <c r="G45" s="23" t="inlineStr">
        <is>
          <t>Média</t>
        </is>
      </c>
      <c r="H45" s="16" t="n"/>
      <c r="I45" s="16" t="inlineStr">
        <is>
          <t>CBO 2002 + CINE Brasil (rascunho revisado)</t>
        </is>
      </c>
    </row>
    <row r="46" ht="15" customHeight="1" s="14">
      <c r="A46" s="22" t="inlineStr">
        <is>
          <t>2512</t>
        </is>
      </c>
      <c r="B46" s="16" t="inlineStr">
        <is>
          <t>Família</t>
        </is>
      </c>
      <c r="C46" s="16" t="inlineStr">
        <is>
          <t>Economistas</t>
        </is>
      </c>
      <c r="D46" s="22" t="inlineStr">
        <is>
          <t>03</t>
        </is>
      </c>
      <c r="E46" s="16">
        <f>IFERROR(INDEX(CINE_Areas!$B$2:$B$12,MATCH(D46,CINE_Areas!$A$2:$A$12,0)),"Código inválido")</f>
        <v/>
      </c>
      <c r="F46" s="23" t="inlineStr">
        <is>
          <t>Principal</t>
        </is>
      </c>
      <c r="G46" s="23" t="inlineStr">
        <is>
          <t>Média</t>
        </is>
      </c>
      <c r="H46" s="16" t="inlineStr">
        <is>
          <t>CINE coloca Economia em 03</t>
        </is>
      </c>
      <c r="I46" s="16" t="inlineStr">
        <is>
          <t>INEP 2024: Economia em 03 (4 de 5 cursos)</t>
        </is>
      </c>
    </row>
    <row r="47" ht="15" customHeight="1" s="14">
      <c r="A47" s="22" t="inlineStr">
        <is>
          <t>2611</t>
        </is>
      </c>
      <c r="B47" s="16" t="inlineStr">
        <is>
          <t>Família</t>
        </is>
      </c>
      <c r="C47" s="16" t="inlineStr">
        <is>
          <t>Profissionais do jornalismo</t>
        </is>
      </c>
      <c r="D47" s="22" t="inlineStr">
        <is>
          <t>03</t>
        </is>
      </c>
      <c r="E47" s="16">
        <f>IFERROR(INDEX(CINE_Areas!$B$2:$B$12,MATCH(D47,CINE_Areas!$A$2:$A$12,0)),"Código inválido")</f>
        <v/>
      </c>
      <c r="F47" s="23" t="inlineStr">
        <is>
          <t>Principal</t>
        </is>
      </c>
      <c r="G47" s="23" t="inlineStr">
        <is>
          <t>Média</t>
        </is>
      </c>
      <c r="H47" s="16" t="n"/>
      <c r="I47" s="16" t="inlineStr">
        <is>
          <t>CBO 2002 + CINE Brasil (rascunho revisado)</t>
        </is>
      </c>
    </row>
    <row r="48" ht="15" customHeight="1" s="14">
      <c r="A48" s="22" t="inlineStr">
        <is>
          <t>2612</t>
        </is>
      </c>
      <c r="B48" s="16" t="inlineStr">
        <is>
          <t>Família</t>
        </is>
      </c>
      <c r="C48" s="16" t="inlineStr">
        <is>
          <t>Profissionais da informação (bibliotecários)</t>
        </is>
      </c>
      <c r="D48" s="22" t="inlineStr">
        <is>
          <t>03</t>
        </is>
      </c>
      <c r="E48" s="16">
        <f>IFERROR(INDEX(CINE_Areas!$B$2:$B$12,MATCH(D48,CINE_Areas!$A$2:$A$12,0)),"Código inválido")</f>
        <v/>
      </c>
      <c r="F48" s="23" t="inlineStr">
        <is>
          <t>Principal</t>
        </is>
      </c>
      <c r="G48" s="23" t="inlineStr">
        <is>
          <t>Média</t>
        </is>
      </c>
      <c r="H48" s="16" t="n"/>
      <c r="I48" s="16" t="inlineStr">
        <is>
          <t>CBO 2002 + CINE Brasil (rascunho revisado)</t>
        </is>
      </c>
    </row>
    <row r="49" ht="15" customHeight="1" s="14">
      <c r="A49" s="22" t="inlineStr">
        <is>
          <t>2613</t>
        </is>
      </c>
      <c r="B49" s="16" t="inlineStr">
        <is>
          <t>Família</t>
        </is>
      </c>
      <c r="C49" s="16" t="inlineStr">
        <is>
          <t>Arquivistas e museólogos</t>
        </is>
      </c>
      <c r="D49" s="22" t="inlineStr">
        <is>
          <t>03</t>
        </is>
      </c>
      <c r="E49" s="16">
        <f>IFERROR(INDEX(CINE_Areas!$B$2:$B$12,MATCH(D49,CINE_Areas!$A$2:$A$12,0)),"Código inválido")</f>
        <v/>
      </c>
      <c r="F49" s="23" t="inlineStr">
        <is>
          <t>Principal</t>
        </is>
      </c>
      <c r="G49" s="23" t="inlineStr">
        <is>
          <t>Média</t>
        </is>
      </c>
      <c r="H49" s="16" t="n"/>
      <c r="I49" s="16" t="inlineStr">
        <is>
          <t>CBO 2002 + CINE Brasil (rascunho revisado)</t>
        </is>
      </c>
    </row>
    <row r="50" ht="15" customHeight="1" s="14">
      <c r="A50" s="22" t="inlineStr">
        <is>
          <t>2614</t>
        </is>
      </c>
      <c r="B50" s="16" t="inlineStr">
        <is>
          <t>Família</t>
        </is>
      </c>
      <c r="C50" s="16" t="inlineStr">
        <is>
          <t>Filólogos, tradutores e intérpretes</t>
        </is>
      </c>
      <c r="D50" s="22" t="inlineStr">
        <is>
          <t>02</t>
        </is>
      </c>
      <c r="E50" s="16">
        <f>IFERROR(INDEX(CINE_Areas!$B$2:$B$12,MATCH(D50,CINE_Areas!$A$2:$A$12,0)),"Código inválido")</f>
        <v/>
      </c>
      <c r="F50" s="23" t="inlineStr">
        <is>
          <t>Principal</t>
        </is>
      </c>
      <c r="G50" s="23" t="inlineStr">
        <is>
          <t>Média</t>
        </is>
      </c>
      <c r="H50" s="16" t="n"/>
      <c r="I50" s="16" t="inlineStr">
        <is>
          <t>CBO 2002 + CINE Brasil (rascunho revisado)</t>
        </is>
      </c>
    </row>
    <row r="51" ht="15" customHeight="1" s="14">
      <c r="A51" s="22" t="inlineStr">
        <is>
          <t>2615</t>
        </is>
      </c>
      <c r="B51" s="16" t="inlineStr">
        <is>
          <t>Família</t>
        </is>
      </c>
      <c r="C51" s="16" t="inlineStr">
        <is>
          <t>Escritores e redatores</t>
        </is>
      </c>
      <c r="D51" s="22" t="inlineStr">
        <is>
          <t>02</t>
        </is>
      </c>
      <c r="E51" s="16">
        <f>IFERROR(INDEX(CINE_Areas!$B$2:$B$12,MATCH(D51,CINE_Areas!$A$2:$A$12,0)),"Código inválido")</f>
        <v/>
      </c>
      <c r="F51" s="23" t="inlineStr">
        <is>
          <t>Principal</t>
        </is>
      </c>
      <c r="G51" s="23" t="inlineStr">
        <is>
          <t>Média</t>
        </is>
      </c>
      <c r="H51" s="16" t="n"/>
      <c r="I51" s="16" t="inlineStr">
        <is>
          <t>CBO 2002 + CINE Brasil (rascunho revisado)</t>
        </is>
      </c>
    </row>
    <row r="52" ht="15" customHeight="1" s="14">
      <c r="A52" s="22" t="inlineStr">
        <is>
          <t>262</t>
        </is>
      </c>
      <c r="B52" s="16" t="inlineStr">
        <is>
          <t>Subgrupo</t>
        </is>
      </c>
      <c r="C52" s="16" t="inlineStr">
        <is>
          <t>Profissionais de espetáculos e das artes (262x)</t>
        </is>
      </c>
      <c r="D52" s="22" t="inlineStr">
        <is>
          <t>02</t>
        </is>
      </c>
      <c r="E52" s="16">
        <f>IFERROR(INDEX(CINE_Areas!$B$2:$B$12,MATCH(D52,CINE_Areas!$A$2:$A$12,0)),"Código inválido")</f>
        <v/>
      </c>
      <c r="F52" s="23" t="inlineStr">
        <is>
          <t>Principal</t>
        </is>
      </c>
      <c r="G52" s="23" t="inlineStr">
        <is>
          <t>Média</t>
        </is>
      </c>
      <c r="H52" s="16" t="inlineStr">
        <is>
          <t>Design pode cair em 02</t>
        </is>
      </c>
      <c r="I52" s="16" t="inlineStr">
        <is>
          <t>CBO 2002 + CINE Brasil (rascunho revisado)</t>
        </is>
      </c>
    </row>
    <row r="53" ht="15" customHeight="1" s="14">
      <c r="A53" s="22" t="inlineStr">
        <is>
          <t>2631</t>
        </is>
      </c>
      <c r="B53" s="16" t="inlineStr">
        <is>
          <t>Família</t>
        </is>
      </c>
      <c r="C53" s="16" t="inlineStr">
        <is>
          <t>Ministros de culto, missionários e afins</t>
        </is>
      </c>
      <c r="D53" s="22" t="inlineStr">
        <is>
          <t>02</t>
        </is>
      </c>
      <c r="E53" s="16">
        <f>IFERROR(INDEX(CINE_Areas!$B$2:$B$12,MATCH(D53,CINE_Areas!$A$2:$A$12,0)),"Código inválido")</f>
        <v/>
      </c>
      <c r="F53" s="23" t="inlineStr">
        <is>
          <t>Principal</t>
        </is>
      </c>
      <c r="G53" s="23" t="inlineStr">
        <is>
          <t>Alta</t>
        </is>
      </c>
      <c r="H53" s="16" t="inlineStr">
        <is>
          <t>Teologia em 02</t>
        </is>
      </c>
      <c r="I53" s="16" t="inlineStr">
        <is>
          <t>INEP 2024: Teologia em 02</t>
        </is>
      </c>
    </row>
    <row r="54">
      <c r="A54" s="22" t="inlineStr">
        <is>
          <t>1412</t>
        </is>
      </c>
      <c r="B54" s="16" t="inlineStr">
        <is>
          <t>Família</t>
        </is>
      </c>
      <c r="C54" s="16" t="inlineStr">
        <is>
          <t>Gerentes de produção e operações</t>
        </is>
      </c>
      <c r="D54" s="22" t="inlineStr">
        <is>
          <t>07</t>
        </is>
      </c>
      <c r="E54" s="16">
        <f>IFERROR(INDEX(CINE_Areas!$B$2:$B$12,MATCH(D54,CINE_Areas!$A$2:$A$12,0)),"Código inválido")</f>
        <v/>
      </c>
      <c r="F54" s="23" t="inlineStr">
        <is>
          <t>Principal</t>
        </is>
      </c>
      <c r="G54" s="23" t="inlineStr">
        <is>
          <t>Média</t>
        </is>
      </c>
      <c r="H54" s="16" t="inlineStr">
        <is>
          <t>Também recebe formados de Administração (04)</t>
        </is>
      </c>
      <c r="I54" s="16" t="inlineStr">
        <is>
          <t>CBO 2002 + CINE Brasil (rascunho revisado)</t>
        </is>
      </c>
    </row>
    <row r="55">
      <c r="A55" s="22" t="inlineStr">
        <is>
          <t>1414</t>
        </is>
      </c>
      <c r="B55" s="16" t="inlineStr">
        <is>
          <t>Família</t>
        </is>
      </c>
      <c r="C55" s="16" t="inlineStr">
        <is>
          <t>Gerentes de operações comerciais (lojas e varejo)</t>
        </is>
      </c>
      <c r="D55" s="22" t="inlineStr">
        <is>
          <t>04</t>
        </is>
      </c>
      <c r="E55" s="16">
        <f>IFERROR(INDEX(CINE_Areas!$B$2:$B$12,MATCH(D55,CINE_Areas!$A$2:$A$12,0)),"Código inválido")</f>
        <v/>
      </c>
      <c r="F55" s="23" t="inlineStr">
        <is>
          <t>Secundário</t>
        </is>
      </c>
      <c r="G55" s="23" t="inlineStr">
        <is>
          <t>Média</t>
        </is>
      </c>
      <c r="H55" s="16" t="inlineStr">
        <is>
          <t>Cargo não exige diploma</t>
        </is>
      </c>
      <c r="I55" s="16" t="inlineStr">
        <is>
          <t>CBO 2002 + CINE Brasil (rascunho revisado)</t>
        </is>
      </c>
    </row>
    <row r="56">
      <c r="A56" s="22" t="inlineStr">
        <is>
          <t>1415</t>
        </is>
      </c>
      <c r="B56" s="16" t="inlineStr">
        <is>
          <t>Família</t>
        </is>
      </c>
      <c r="C56" s="16" t="inlineStr">
        <is>
          <t>Gerentes de hotelaria e alimentação</t>
        </is>
      </c>
      <c r="D56" s="22" t="inlineStr">
        <is>
          <t>10</t>
        </is>
      </c>
      <c r="E56" s="16">
        <f>IFERROR(INDEX(CINE_Areas!$B$2:$B$12,MATCH(D56,CINE_Areas!$A$2:$A$12,0)),"Código inválido")</f>
        <v/>
      </c>
      <c r="F56" s="23" t="inlineStr">
        <is>
          <t>Secundário</t>
        </is>
      </c>
      <c r="G56" s="23" t="inlineStr">
        <is>
          <t>Média</t>
        </is>
      </c>
      <c r="H56" s="16" t="n"/>
      <c r="I56" s="16" t="inlineStr">
        <is>
          <t>INEP 2024: Gastronomia e Hotelaria em 10</t>
        </is>
      </c>
    </row>
    <row r="57">
      <c r="A57" s="22" t="inlineStr">
        <is>
          <t>1416</t>
        </is>
      </c>
      <c r="B57" s="16" t="inlineStr">
        <is>
          <t>Família</t>
        </is>
      </c>
      <c r="C57" s="16" t="inlineStr">
        <is>
          <t>Gerentes de logística e transportes</t>
        </is>
      </c>
      <c r="D57" s="22" t="inlineStr">
        <is>
          <t>04</t>
        </is>
      </c>
      <c r="E57" s="16">
        <f>IFERROR(INDEX(CINE_Areas!$B$2:$B$12,MATCH(D57,CINE_Areas!$A$2:$A$12,0)),"Código inválido")</f>
        <v/>
      </c>
      <c r="F57" s="23" t="inlineStr">
        <is>
          <t>Principal</t>
        </is>
      </c>
      <c r="G57" s="23" t="inlineStr">
        <is>
          <t>Média</t>
        </is>
      </c>
      <c r="H57" s="16" t="n"/>
      <c r="I57" s="16" t="inlineStr">
        <is>
          <t>INEP 2024: Logística em 04</t>
        </is>
      </c>
    </row>
    <row r="58">
      <c r="A58" s="22" t="inlineStr">
        <is>
          <t>1421</t>
        </is>
      </c>
      <c r="B58" s="16" t="inlineStr">
        <is>
          <t>Família</t>
        </is>
      </c>
      <c r="C58" s="16" t="inlineStr">
        <is>
          <t>Gerentes administrativos, financeiros e de riscos</t>
        </is>
      </c>
      <c r="D58" s="22" t="inlineStr">
        <is>
          <t>04</t>
        </is>
      </c>
      <c r="E58" s="16">
        <f>IFERROR(INDEX(CINE_Areas!$B$2:$B$12,MATCH(D58,CINE_Areas!$A$2:$A$12,0)),"Código inválido")</f>
        <v/>
      </c>
      <c r="F58" s="23" t="inlineStr">
        <is>
          <t>Principal</t>
        </is>
      </c>
      <c r="G58" s="23" t="inlineStr">
        <is>
          <t>Média</t>
        </is>
      </c>
      <c r="H58" s="16" t="n"/>
      <c r="I58" s="16" t="inlineStr">
        <is>
          <t>CBO 2002 + CINE Brasil (rascunho revisado)</t>
        </is>
      </c>
    </row>
    <row r="59">
      <c r="A59" s="22" t="inlineStr">
        <is>
          <t>1422</t>
        </is>
      </c>
      <c r="B59" s="16" t="inlineStr">
        <is>
          <t>Família</t>
        </is>
      </c>
      <c r="C59" s="16" t="inlineStr">
        <is>
          <t>Gerentes de recursos humanos</t>
        </is>
      </c>
      <c r="D59" s="22" t="inlineStr">
        <is>
          <t>04</t>
        </is>
      </c>
      <c r="E59" s="16">
        <f>IFERROR(INDEX(CINE_Areas!$B$2:$B$12,MATCH(D59,CINE_Areas!$A$2:$A$12,0)),"Código inválido")</f>
        <v/>
      </c>
      <c r="F59" s="23" t="inlineStr">
        <is>
          <t>Principal</t>
        </is>
      </c>
      <c r="G59" s="23" t="inlineStr">
        <is>
          <t>Média</t>
        </is>
      </c>
      <c r="H59" s="16" t="n"/>
      <c r="I59" s="16" t="inlineStr">
        <is>
          <t>INEP 2024: Recursos Humanos em 04</t>
        </is>
      </c>
    </row>
    <row r="60">
      <c r="A60" s="22" t="inlineStr">
        <is>
          <t>1423</t>
        </is>
      </c>
      <c r="B60" s="16" t="inlineStr">
        <is>
          <t>Família</t>
        </is>
      </c>
      <c r="C60" s="16" t="inlineStr">
        <is>
          <t>Gerentes e analistas de negócios, marketing e vendas</t>
        </is>
      </c>
      <c r="D60" s="22" t="inlineStr">
        <is>
          <t>04</t>
        </is>
      </c>
      <c r="E60" s="16">
        <f>IFERROR(INDEX(CINE_Areas!$B$2:$B$12,MATCH(D60,CINE_Areas!$A$2:$A$12,0)),"Código inválido")</f>
        <v/>
      </c>
      <c r="F60" s="23" t="inlineStr">
        <is>
          <t>Principal</t>
        </is>
      </c>
      <c r="G60" s="23" t="inlineStr">
        <is>
          <t>Média</t>
        </is>
      </c>
      <c r="H60" s="16" t="inlineStr">
        <is>
          <t>Maior família de dirigentes entre formados; Analista de Negócios (142330) é o cargo mais comum</t>
        </is>
      </c>
      <c r="I60" s="16" t="inlineStr">
        <is>
          <t>INEP 2024: Marketing e Gestão Comercial em 04</t>
        </is>
      </c>
    </row>
    <row r="61">
      <c r="A61" s="22" t="inlineStr">
        <is>
          <t>1424</t>
        </is>
      </c>
      <c r="B61" s="16" t="inlineStr">
        <is>
          <t>Família</t>
        </is>
      </c>
      <c r="C61" s="16" t="inlineStr">
        <is>
          <t>Gerentes de compras e suprimentos</t>
        </is>
      </c>
      <c r="D61" s="22" t="inlineStr">
        <is>
          <t>04</t>
        </is>
      </c>
      <c r="E61" s="16">
        <f>IFERROR(INDEX(CINE_Areas!$B$2:$B$12,MATCH(D61,CINE_Areas!$A$2:$A$12,0)),"Código inválido")</f>
        <v/>
      </c>
      <c r="F61" s="23" t="inlineStr">
        <is>
          <t>Principal</t>
        </is>
      </c>
      <c r="G61" s="23" t="inlineStr">
        <is>
          <t>Média</t>
        </is>
      </c>
      <c r="H61" s="16" t="n"/>
      <c r="I61" s="16" t="inlineStr">
        <is>
          <t>CBO 2002 + CINE Brasil (rascunho revisado)</t>
        </is>
      </c>
    </row>
    <row r="62">
      <c r="A62" s="22" t="inlineStr">
        <is>
          <t>1425</t>
        </is>
      </c>
      <c r="B62" s="16" t="inlineStr">
        <is>
          <t>Família</t>
        </is>
      </c>
      <c r="C62" s="16" t="inlineStr">
        <is>
          <t>Gerentes de tecnologia da informação</t>
        </is>
      </c>
      <c r="D62" s="22" t="inlineStr">
        <is>
          <t>06</t>
        </is>
      </c>
      <c r="E62" s="16">
        <f>IFERROR(INDEX(CINE_Areas!$B$2:$B$12,MATCH(D62,CINE_Areas!$A$2:$A$12,0)),"Código inválido")</f>
        <v/>
      </c>
      <c r="F62" s="23" t="inlineStr">
        <is>
          <t>Principal</t>
        </is>
      </c>
      <c r="G62" s="23" t="inlineStr">
        <is>
          <t>Média</t>
        </is>
      </c>
      <c r="H62" s="16" t="n"/>
      <c r="I62" s="16" t="inlineStr">
        <is>
          <t>CBO 2002 + CINE Brasil (rascunho revisado)</t>
        </is>
      </c>
    </row>
    <row r="63">
      <c r="A63" s="22" t="inlineStr">
        <is>
          <t>1426</t>
        </is>
      </c>
      <c r="B63" s="16" t="inlineStr">
        <is>
          <t>Família</t>
        </is>
      </c>
      <c r="C63" s="16" t="inlineStr">
        <is>
          <t>Gerentes de pesquisa e desenvolvimento</t>
        </is>
      </c>
      <c r="D63" s="22" t="inlineStr">
        <is>
          <t>07</t>
        </is>
      </c>
      <c r="E63" s="16">
        <f>IFERROR(INDEX(CINE_Areas!$B$2:$B$12,MATCH(D63,CINE_Areas!$A$2:$A$12,0)),"Código inválido")</f>
        <v/>
      </c>
      <c r="F63" s="23" t="inlineStr">
        <is>
          <t>Secundário</t>
        </is>
      </c>
      <c r="G63" s="23" t="inlineStr">
        <is>
          <t>Média</t>
        </is>
      </c>
      <c r="H63" s="16" t="inlineStr">
        <is>
          <t>Recebe formados de várias áreas</t>
        </is>
      </c>
      <c r="I63" s="16" t="inlineStr">
        <is>
          <t>CBO 2002 + CINE Brasil (rascunho revisado)</t>
        </is>
      </c>
    </row>
    <row r="64">
      <c r="A64" s="22" t="inlineStr">
        <is>
          <t>1427</t>
        </is>
      </c>
      <c r="B64" s="16" t="inlineStr">
        <is>
          <t>Família</t>
        </is>
      </c>
      <c r="C64" s="16" t="inlineStr">
        <is>
          <t>Gerentes de manutenção e projetos</t>
        </is>
      </c>
      <c r="D64" s="22" t="inlineStr">
        <is>
          <t>07</t>
        </is>
      </c>
      <c r="E64" s="16">
        <f>IFERROR(INDEX(CINE_Areas!$B$2:$B$12,MATCH(D64,CINE_Areas!$A$2:$A$12,0)),"Código inválido")</f>
        <v/>
      </c>
      <c r="F64" s="23" t="inlineStr">
        <is>
          <t>Secundário</t>
        </is>
      </c>
      <c r="G64" s="23" t="inlineStr">
        <is>
          <t>Média</t>
        </is>
      </c>
      <c r="H64" s="16" t="n"/>
      <c r="I64" s="16" t="inlineStr">
        <is>
          <t>CBO 2002 + CINE Brasil (rascunho revisado)</t>
        </is>
      </c>
    </row>
    <row r="65">
      <c r="A65" s="22" t="inlineStr">
        <is>
          <t>203</t>
        </is>
      </c>
      <c r="B65" s="16" t="inlineStr">
        <is>
          <t>Subgrupo</t>
        </is>
      </c>
      <c r="C65" s="16" t="inlineStr">
        <is>
          <t>Pesquisadores</t>
        </is>
      </c>
      <c r="D65" s="22" t="inlineStr">
        <is>
          <t>05</t>
        </is>
      </c>
      <c r="E65" s="16">
        <f>IFERROR(INDEX(CINE_Areas!$B$2:$B$12,MATCH(D65,CINE_Areas!$A$2:$A$12,0)),"Código inválido")</f>
        <v/>
      </c>
      <c r="F65" s="23" t="inlineStr">
        <is>
          <t>Principal</t>
        </is>
      </c>
      <c r="G65" s="23" t="inlineStr">
        <is>
          <t>Média</t>
        </is>
      </c>
      <c r="H65" s="16" t="inlineStr">
        <is>
          <t>Inclui pesquisadores de engenharia (07); volume pequeno</t>
        </is>
      </c>
      <c r="I65" s="16" t="inlineStr">
        <is>
          <t>CBO 2002 + CINE Brasil (rascunho revisado)</t>
        </is>
      </c>
    </row>
    <row r="66">
      <c r="A66" s="22" t="inlineStr">
        <is>
          <t>2527</t>
        </is>
      </c>
      <c r="B66" s="16" t="inlineStr">
        <is>
          <t>Família</t>
        </is>
      </c>
      <c r="C66" s="16" t="inlineStr">
        <is>
          <t>Analistas de logística e de planejamento (PCP)</t>
        </is>
      </c>
      <c r="D66" s="22" t="inlineStr">
        <is>
          <t>04</t>
        </is>
      </c>
      <c r="E66" s="16">
        <f>IFERROR(INDEX(CINE_Areas!$B$2:$B$12,MATCH(D66,CINE_Areas!$A$2:$A$12,0)),"Código inválido")</f>
        <v/>
      </c>
      <c r="F66" s="23" t="inlineStr">
        <is>
          <t>Principal</t>
        </is>
      </c>
      <c r="G66" s="23" t="inlineStr">
        <is>
          <t>Média</t>
        </is>
      </c>
      <c r="H66" s="16" t="inlineStr">
        <is>
          <t>PCP também recebe Engenharia de Produção (07)</t>
        </is>
      </c>
      <c r="I66" s="16" t="inlineStr">
        <is>
          <t>INEP 2024: Logística em 04</t>
        </is>
      </c>
    </row>
    <row r="67">
      <c r="A67" s="22" t="inlineStr">
        <is>
          <t>2532</t>
        </is>
      </c>
      <c r="B67" s="16" t="inlineStr">
        <is>
          <t>Família</t>
        </is>
      </c>
      <c r="C67" s="16" t="inlineStr">
        <is>
          <t>Gerentes de contas e profissionais de serviços bancários</t>
        </is>
      </c>
      <c r="D67" s="22" t="inlineStr">
        <is>
          <t>04</t>
        </is>
      </c>
      <c r="E67" s="16">
        <f>IFERROR(INDEX(CINE_Areas!$B$2:$B$12,MATCH(D67,CINE_Areas!$A$2:$A$12,0)),"Código inválido")</f>
        <v/>
      </c>
      <c r="F67" s="23" t="inlineStr">
        <is>
          <t>Principal</t>
        </is>
      </c>
      <c r="G67" s="23" t="inlineStr">
        <is>
          <t>Média</t>
        </is>
      </c>
      <c r="H67" s="16" t="n"/>
      <c r="I67" s="16" t="inlineStr">
        <is>
          <t>CBO 2002 + CINE Brasil (rascunho revisado)</t>
        </is>
      </c>
    </row>
    <row r="68">
      <c r="A68" s="22" t="inlineStr">
        <is>
          <t>2534</t>
        </is>
      </c>
      <c r="B68" s="16" t="inlineStr">
        <is>
          <t>Família</t>
        </is>
      </c>
      <c r="C68" s="16" t="inlineStr">
        <is>
          <t>Profissionais de mídias digitais</t>
        </is>
      </c>
      <c r="D68" s="22" t="inlineStr">
        <is>
          <t>04</t>
        </is>
      </c>
      <c r="E68" s="16">
        <f>IFERROR(INDEX(CINE_Areas!$B$2:$B$12,MATCH(D68,CINE_Areas!$A$2:$A$12,0)),"Código inválido")</f>
        <v/>
      </c>
      <c r="F68" s="23" t="inlineStr">
        <is>
          <t>Secundário</t>
        </is>
      </c>
      <c r="G68" s="23" t="inlineStr">
        <is>
          <t>Média</t>
        </is>
      </c>
      <c r="H68" s="16" t="inlineStr">
        <is>
          <t>Cursos de Mídias Sociais divididos entre 02 e 04</t>
        </is>
      </c>
      <c r="I68" s="16" t="inlineStr">
        <is>
          <t>INEP 2024: Mídias Sociais em 02 e 04</t>
        </is>
      </c>
    </row>
    <row r="69">
      <c r="A69" s="22" t="inlineStr">
        <is>
          <t>30</t>
        </is>
      </c>
      <c r="B69" s="16" t="inlineStr">
        <is>
          <t>Subgrupo principal</t>
        </is>
      </c>
      <c r="C69" s="16" t="inlineStr">
        <is>
          <t>Técnicos polivalentes (mecatrônica, eletromecânica)</t>
        </is>
      </c>
      <c r="D69" s="22" t="inlineStr">
        <is>
          <t>07</t>
        </is>
      </c>
      <c r="E69" s="16">
        <f>IFERROR(INDEX(CINE_Areas!$B$2:$B$12,MATCH(D69,CINE_Areas!$A$2:$A$12,0)),"Código inválido")</f>
        <v/>
      </c>
      <c r="F69" s="23" t="inlineStr">
        <is>
          <t>Secundário</t>
        </is>
      </c>
      <c r="G69" s="23" t="inlineStr">
        <is>
          <t>Média</t>
        </is>
      </c>
      <c r="H69" s="16" t="inlineStr">
        <is>
          <t>Grupo 3 (técnico)</t>
        </is>
      </c>
      <c r="I69" s="16" t="inlineStr">
        <is>
          <t>CBO 2002 + CINE Brasil (rascunho revisado)</t>
        </is>
      </c>
    </row>
    <row r="70">
      <c r="A70" s="22" t="inlineStr">
        <is>
          <t>31</t>
        </is>
      </c>
      <c r="B70" s="16" t="inlineStr">
        <is>
          <t>Subgrupo principal</t>
        </is>
      </c>
      <c r="C70" s="16" t="inlineStr">
        <is>
          <t>Técnicos das ciências físicas, químicas e das engenharias</t>
        </is>
      </c>
      <c r="D70" s="22" t="inlineStr">
        <is>
          <t>07</t>
        </is>
      </c>
      <c r="E70" s="16">
        <f>IFERROR(INDEX(CINE_Areas!$B$2:$B$12,MATCH(D70,CINE_Areas!$A$2:$A$12,0)),"Código inválido")</f>
        <v/>
      </c>
      <c r="F70" s="23" t="inlineStr">
        <is>
          <t>Secundário</t>
        </is>
      </c>
      <c r="G70" s="23" t="inlineStr">
        <is>
          <t>Média</t>
        </is>
      </c>
      <c r="H70" s="16" t="inlineStr">
        <is>
          <t>Grupo 3 (técnico)</t>
        </is>
      </c>
      <c r="I70" s="16" t="inlineStr">
        <is>
          <t>CBO 2002 + CINE Brasil (rascunho revisado)</t>
        </is>
      </c>
    </row>
    <row r="71">
      <c r="A71" s="22" t="inlineStr">
        <is>
          <t>3111</t>
        </is>
      </c>
      <c r="B71" s="16" t="inlineStr">
        <is>
          <t>Família</t>
        </is>
      </c>
      <c r="C71" s="16" t="inlineStr">
        <is>
          <t>Técnicos químicos</t>
        </is>
      </c>
      <c r="D71" s="22" t="inlineStr">
        <is>
          <t>05</t>
        </is>
      </c>
      <c r="E71" s="16">
        <f>IFERROR(INDEX(CINE_Areas!$B$2:$B$12,MATCH(D71,CINE_Areas!$A$2:$A$12,0)),"Código inválido")</f>
        <v/>
      </c>
      <c r="F71" s="23" t="inlineStr">
        <is>
          <t>Secundário</t>
        </is>
      </c>
      <c r="G71" s="23" t="inlineStr">
        <is>
          <t>Média</t>
        </is>
      </c>
      <c r="H71" s="16" t="inlineStr">
        <is>
          <t>Grupo 3 (técnico)</t>
        </is>
      </c>
      <c r="I71" s="16" t="inlineStr">
        <is>
          <t>INEP 2024: Processos Químicos em 05</t>
        </is>
      </c>
    </row>
    <row r="72">
      <c r="A72" s="22" t="inlineStr">
        <is>
          <t>32</t>
        </is>
      </c>
      <c r="B72" s="16" t="inlineStr">
        <is>
          <t>Subgrupo principal</t>
        </is>
      </c>
      <c r="C72" s="16" t="inlineStr">
        <is>
          <t>Técnicos das ciências biológicas e da saúde (enfermagem, patologia, radiologia)</t>
        </is>
      </c>
      <c r="D72" s="22" t="inlineStr">
        <is>
          <t>09</t>
        </is>
      </c>
      <c r="E72" s="16">
        <f>IFERROR(INDEX(CINE_Areas!$B$2:$B$12,MATCH(D72,CINE_Areas!$A$2:$A$12,0)),"Código inválido")</f>
        <v/>
      </c>
      <c r="F72" s="23" t="inlineStr">
        <is>
          <t>Secundário</t>
        </is>
      </c>
      <c r="G72" s="23" t="inlineStr">
        <is>
          <t>Média</t>
        </is>
      </c>
      <c r="H72" s="16" t="inlineStr">
        <is>
          <t>Grupo 3 (técnico)</t>
        </is>
      </c>
      <c r="I72" s="16" t="inlineStr">
        <is>
          <t>INEP 2024: Enfermagem e Radiologia em 09</t>
        </is>
      </c>
    </row>
    <row r="73">
      <c r="A73" s="22" t="inlineStr">
        <is>
          <t>33</t>
        </is>
      </c>
      <c r="B73" s="16" t="inlineStr">
        <is>
          <t>Subgrupo principal</t>
        </is>
      </c>
      <c r="C73" s="16" t="inlineStr">
        <is>
          <t>Professores de nível médio e auxiliares de educação infantil</t>
        </is>
      </c>
      <c r="D73" s="22" t="inlineStr">
        <is>
          <t>01</t>
        </is>
      </c>
      <c r="E73" s="16">
        <f>IFERROR(INDEX(CINE_Areas!$B$2:$B$12,MATCH(D73,CINE_Areas!$A$2:$A$12,0)),"Código inválido")</f>
        <v/>
      </c>
      <c r="F73" s="23" t="inlineStr">
        <is>
          <t>Secundário</t>
        </is>
      </c>
      <c r="G73" s="23" t="inlineStr">
        <is>
          <t>Média</t>
        </is>
      </c>
      <c r="H73" s="16" t="inlineStr">
        <is>
          <t>Grupo 3 (técnico); recebe formados em Pedagogia</t>
        </is>
      </c>
      <c r="I73" s="16" t="inlineStr">
        <is>
          <t>CBO 2002 + CINE Brasil (rascunho revisado)</t>
        </is>
      </c>
    </row>
    <row r="74">
      <c r="A74" s="22" t="inlineStr">
        <is>
          <t>34</t>
        </is>
      </c>
      <c r="B74" s="16" t="inlineStr">
        <is>
          <t>Subgrupo principal</t>
        </is>
      </c>
      <c r="C74" s="16" t="inlineStr">
        <is>
          <t>Técnicos em transportes</t>
        </is>
      </c>
      <c r="D74" s="22" t="inlineStr">
        <is>
          <t>04</t>
        </is>
      </c>
      <c r="E74" s="16">
        <f>IFERROR(INDEX(CINE_Areas!$B$2:$B$12,MATCH(D74,CINE_Areas!$A$2:$A$12,0)),"Código inválido")</f>
        <v/>
      </c>
      <c r="F74" s="23" t="inlineStr">
        <is>
          <t>Secundário</t>
        </is>
      </c>
      <c r="G74" s="23" t="inlineStr">
        <is>
          <t>Média</t>
        </is>
      </c>
      <c r="H74" s="16" t="inlineStr">
        <is>
          <t>Grupo 3 (técnico)</t>
        </is>
      </c>
      <c r="I74" s="16" t="inlineStr">
        <is>
          <t>INEP 2024: Logística em 04</t>
        </is>
      </c>
    </row>
    <row r="75">
      <c r="A75" s="22" t="inlineStr">
        <is>
          <t>3421</t>
        </is>
      </c>
      <c r="B75" s="16" t="inlineStr">
        <is>
          <t>Família</t>
        </is>
      </c>
      <c r="C75" s="16" t="inlineStr">
        <is>
          <t>Técnicos e tecnólogos em logística de transporte</t>
        </is>
      </c>
      <c r="D75" s="22" t="inlineStr">
        <is>
          <t>04</t>
        </is>
      </c>
      <c r="E75" s="16">
        <f>IFERROR(INDEX(CINE_Areas!$B$2:$B$12,MATCH(D75,CINE_Areas!$A$2:$A$12,0)),"Código inválido")</f>
        <v/>
      </c>
      <c r="F75" s="23" t="inlineStr">
        <is>
          <t>Principal</t>
        </is>
      </c>
      <c r="G75" s="23" t="inlineStr">
        <is>
          <t>Média</t>
        </is>
      </c>
      <c r="H75" s="16" t="inlineStr">
        <is>
          <t>Tecnólogo em Logística (342125) é o cargo mais comum da família</t>
        </is>
      </c>
      <c r="I75" s="16" t="inlineStr">
        <is>
          <t>INEP 2024: Logística em 04</t>
        </is>
      </c>
    </row>
    <row r="76">
      <c r="A76" s="22" t="inlineStr">
        <is>
          <t>35</t>
        </is>
      </c>
      <c r="B76" s="16" t="inlineStr">
        <is>
          <t>Subgrupo principal</t>
        </is>
      </c>
      <c r="C76" s="16" t="inlineStr">
        <is>
          <t>Técnicos de serviços administrativos, comerciais e jurídicos</t>
        </is>
      </c>
      <c r="D76" s="22" t="inlineStr">
        <is>
          <t>04</t>
        </is>
      </c>
      <c r="E76" s="16">
        <f>IFERROR(INDEX(CINE_Areas!$B$2:$B$12,MATCH(D76,CINE_Areas!$A$2:$A$12,0)),"Código inválido")</f>
        <v/>
      </c>
      <c r="F76" s="23" t="inlineStr">
        <is>
          <t>Secundário</t>
        </is>
      </c>
      <c r="G76" s="23" t="inlineStr">
        <is>
          <t>Média</t>
        </is>
      </c>
      <c r="H76" s="16" t="inlineStr">
        <is>
          <t>Grupo 3 (técnico); inclui vendas técnicas e compras</t>
        </is>
      </c>
      <c r="I76" s="16" t="inlineStr">
        <is>
          <t>INEP 2024: Gestão Comercial e Comércio Exterior em 04</t>
        </is>
      </c>
    </row>
    <row r="77">
      <c r="A77" s="22" t="inlineStr">
        <is>
          <t>3516</t>
        </is>
      </c>
      <c r="B77" s="16" t="inlineStr">
        <is>
          <t>Família</t>
        </is>
      </c>
      <c r="C77" s="16" t="inlineStr">
        <is>
          <t>Técnicos em segurança do trabalho</t>
        </is>
      </c>
      <c r="D77" s="22" t="inlineStr">
        <is>
          <t>10</t>
        </is>
      </c>
      <c r="E77" s="16">
        <f>IFERROR(INDEX(CINE_Areas!$B$2:$B$12,MATCH(D77,CINE_Areas!$A$2:$A$12,0)),"Código inválido")</f>
        <v/>
      </c>
      <c r="F77" s="23" t="inlineStr">
        <is>
          <t>Secundário</t>
        </is>
      </c>
      <c r="G77" s="23" t="inlineStr">
        <is>
          <t>Média</t>
        </is>
      </c>
      <c r="H77" s="16" t="inlineStr">
        <is>
          <t>Grupo 3 (técnico)</t>
        </is>
      </c>
      <c r="I77" s="16" t="inlineStr">
        <is>
          <t>INEP 2024: Segurança no Trabalho em 10</t>
        </is>
      </c>
    </row>
    <row r="78">
      <c r="A78" s="22" t="inlineStr">
        <is>
          <t>3548</t>
        </is>
      </c>
      <c r="B78" s="16" t="inlineStr">
        <is>
          <t>Família</t>
        </is>
      </c>
      <c r="C78" s="16" t="inlineStr">
        <is>
          <t>Técnicos em turismo e eventos</t>
        </is>
      </c>
      <c r="D78" s="22" t="inlineStr">
        <is>
          <t>10</t>
        </is>
      </c>
      <c r="E78" s="16">
        <f>IFERROR(INDEX(CINE_Areas!$B$2:$B$12,MATCH(D78,CINE_Areas!$A$2:$A$12,0)),"Código inválido")</f>
        <v/>
      </c>
      <c r="F78" s="23" t="inlineStr">
        <is>
          <t>Secundário</t>
        </is>
      </c>
      <c r="G78" s="23" t="inlineStr">
        <is>
          <t>Média</t>
        </is>
      </c>
      <c r="H78" s="16" t="inlineStr">
        <is>
          <t>Grupo 3 (técnico)</t>
        </is>
      </c>
      <c r="I78" s="16" t="inlineStr">
        <is>
          <t>INEP 2024: Turismo em 10</t>
        </is>
      </c>
    </row>
    <row r="79">
      <c r="A79" s="22" t="inlineStr">
        <is>
          <t>39</t>
        </is>
      </c>
      <c r="B79" s="16" t="inlineStr">
        <is>
          <t>Subgrupo principal</t>
        </is>
      </c>
      <c r="C79" s="16" t="inlineStr">
        <is>
          <t>Outros técnicos (planejamento da produção, pesquisa)</t>
        </is>
      </c>
      <c r="D79" s="22" t="inlineStr">
        <is>
          <t>07</t>
        </is>
      </c>
      <c r="E79" s="16">
        <f>IFERROR(INDEX(CINE_Areas!$B$2:$B$12,MATCH(D79,CINE_Areas!$A$2:$A$12,0)),"Código inválido")</f>
        <v/>
      </c>
      <c r="F79" s="23" t="inlineStr">
        <is>
          <t>Secundário</t>
        </is>
      </c>
      <c r="G79" s="23" t="inlineStr">
        <is>
          <t>Média</t>
        </is>
      </c>
      <c r="H79" s="16" t="inlineStr">
        <is>
          <t>Grupo 3 (técnico)</t>
        </is>
      </c>
      <c r="I79" s="16" t="inlineStr">
        <is>
          <t>CBO 2002 + CINE Brasil (rascunho revisado)</t>
        </is>
      </c>
    </row>
    <row r="80">
      <c r="A80" s="22" t="inlineStr">
        <is>
          <t>3912</t>
        </is>
      </c>
      <c r="B80" s="16" t="inlineStr">
        <is>
          <t>Família</t>
        </is>
      </c>
      <c r="C80" s="16" t="inlineStr">
        <is>
          <t>Técnicos de qualidade (garantia e inspeção)</t>
        </is>
      </c>
      <c r="D80" s="22" t="inlineStr">
        <is>
          <t>04</t>
        </is>
      </c>
      <c r="E80" s="16">
        <f>IFERROR(INDEX(CINE_Areas!$B$2:$B$12,MATCH(D80,CINE_Areas!$A$2:$A$12,0)),"Código inválido")</f>
        <v/>
      </c>
      <c r="F80" s="23" t="inlineStr">
        <is>
          <t>Secundário</t>
        </is>
      </c>
      <c r="G80" s="23" t="inlineStr">
        <is>
          <t>Média</t>
        </is>
      </c>
      <c r="H80" s="16" t="inlineStr">
        <is>
          <t>Grupo 3 (técnico)</t>
        </is>
      </c>
      <c r="I80" s="16" t="inlineStr">
        <is>
          <t>INEP 2024: Gestão da Qualidade em 04</t>
        </is>
      </c>
    </row>
  </sheetData>
  <dataValidations count="2">
    <dataValidation sqref="F2:F80" showDropDown="0" showInputMessage="0" showErrorMessage="0" allowBlank="0" type="list" errorStyle="stop" operator="between">
      <formula1>"Principal,Secundário"</formula1>
      <formula2>0</formula2>
    </dataValidation>
    <dataValidation sqref="G2:G80" showDropDown="0" showInputMessage="0" showErrorMessage="0" allowBlank="0" type="list" errorStyle="stop" operator="between">
      <formula1>"Alta,Média,Verificar"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3" min="1" max="1"/>
    <col width="30" customWidth="1" style="13" min="2" max="2"/>
    <col width="24" customWidth="1" style="13" min="3" max="3"/>
  </cols>
  <sheetData>
    <row r="1" ht="15" customHeight="1" s="14">
      <c r="A1" s="18" t="inlineStr">
        <is>
          <t>codigo_graudeinstrucao</t>
        </is>
      </c>
      <c r="B1" s="18" t="inlineStr">
        <is>
          <t>descricao</t>
        </is>
      </c>
      <c r="C1" s="18" t="inlineStr">
        <is>
          <t>grupo_analise</t>
        </is>
      </c>
    </row>
    <row r="2" ht="15" customHeight="1" s="14">
      <c r="A2" s="19" t="inlineStr">
        <is>
          <t>1</t>
        </is>
      </c>
      <c r="B2" s="20" t="inlineStr">
        <is>
          <t>Analfabeto</t>
        </is>
      </c>
      <c r="C2" s="24" t="inlineStr">
        <is>
          <t>Fundamental ou menos</t>
        </is>
      </c>
    </row>
    <row r="3" ht="15" customHeight="1" s="14">
      <c r="A3" s="19" t="inlineStr">
        <is>
          <t>2</t>
        </is>
      </c>
      <c r="B3" s="20" t="inlineStr">
        <is>
          <t>Até 5º ano incompleto</t>
        </is>
      </c>
      <c r="C3" s="24" t="inlineStr">
        <is>
          <t>Fundamental ou menos</t>
        </is>
      </c>
    </row>
    <row r="4" ht="15" customHeight="1" s="14">
      <c r="A4" s="19" t="inlineStr">
        <is>
          <t>3</t>
        </is>
      </c>
      <c r="B4" s="20" t="inlineStr">
        <is>
          <t>5º ano completo</t>
        </is>
      </c>
      <c r="C4" s="24" t="inlineStr">
        <is>
          <t>Fundamental ou menos</t>
        </is>
      </c>
    </row>
    <row r="5" ht="15" customHeight="1" s="14">
      <c r="A5" s="19" t="inlineStr">
        <is>
          <t>4</t>
        </is>
      </c>
      <c r="B5" s="20" t="inlineStr">
        <is>
          <t>6º ao 9º ano incompleto</t>
        </is>
      </c>
      <c r="C5" s="24" t="inlineStr">
        <is>
          <t>Fundamental ou menos</t>
        </is>
      </c>
    </row>
    <row r="6" ht="15" customHeight="1" s="14">
      <c r="A6" s="19" t="inlineStr">
        <is>
          <t>5</t>
        </is>
      </c>
      <c r="B6" s="20" t="inlineStr">
        <is>
          <t>Fundamental completo</t>
        </is>
      </c>
      <c r="C6" s="24" t="inlineStr">
        <is>
          <t>Fundamental ou menos</t>
        </is>
      </c>
    </row>
    <row r="7" ht="15" customHeight="1" s="14">
      <c r="A7" s="19" t="inlineStr">
        <is>
          <t>6</t>
        </is>
      </c>
      <c r="B7" s="20" t="inlineStr">
        <is>
          <t>Médio incompleto</t>
        </is>
      </c>
      <c r="C7" s="24" t="inlineStr">
        <is>
          <t>Fundamental ou menos</t>
        </is>
      </c>
    </row>
    <row r="8" ht="15" customHeight="1" s="14">
      <c r="A8" s="19" t="inlineStr">
        <is>
          <t>7</t>
        </is>
      </c>
      <c r="B8" s="20" t="inlineStr">
        <is>
          <t>Médio completo</t>
        </is>
      </c>
      <c r="C8" s="24" t="inlineStr">
        <is>
          <t>Médio</t>
        </is>
      </c>
    </row>
    <row r="9" ht="15" customHeight="1" s="14">
      <c r="A9" s="19" t="inlineStr">
        <is>
          <t>8</t>
        </is>
      </c>
      <c r="B9" s="20" t="inlineStr">
        <is>
          <t>Superior incompleto</t>
        </is>
      </c>
      <c r="C9" s="24" t="inlineStr">
        <is>
          <t>Superior incompleto</t>
        </is>
      </c>
    </row>
    <row r="10" ht="15" customHeight="1" s="14">
      <c r="A10" s="19" t="inlineStr">
        <is>
          <t>9</t>
        </is>
      </c>
      <c r="B10" s="20" t="inlineStr">
        <is>
          <t>Superior completo</t>
        </is>
      </c>
      <c r="C10" s="24" t="inlineStr">
        <is>
          <t>Superior</t>
        </is>
      </c>
    </row>
    <row r="11" ht="15" customHeight="1" s="14">
      <c r="A11" s="19" t="inlineStr">
        <is>
          <t>10</t>
        </is>
      </c>
      <c r="B11" s="20" t="inlineStr">
        <is>
          <t>Mestrado</t>
        </is>
      </c>
      <c r="C11" s="24" t="inlineStr">
        <is>
          <t>Superior</t>
        </is>
      </c>
    </row>
    <row r="12" ht="15" customHeight="1" s="14">
      <c r="A12" s="19" t="inlineStr">
        <is>
          <t>11</t>
        </is>
      </c>
      <c r="B12" s="20" t="inlineStr">
        <is>
          <t>Doutorado</t>
        </is>
      </c>
      <c r="C12" s="24" t="inlineStr">
        <is>
          <t>Superior</t>
        </is>
      </c>
    </row>
    <row r="13" ht="15" customHeight="1" s="14">
      <c r="A13" s="19" t="inlineStr">
        <is>
          <t>80</t>
        </is>
      </c>
      <c r="B13" s="20" t="inlineStr">
        <is>
          <t>Pós-graduação completa</t>
        </is>
      </c>
      <c r="C13" s="24" t="inlineStr">
        <is>
          <t>Superior</t>
        </is>
      </c>
    </row>
    <row r="14" ht="15" customHeight="1" s="14">
      <c r="A14" s="19" t="inlineStr">
        <is>
          <t>99</t>
        </is>
      </c>
      <c r="B14" s="20" t="inlineStr">
        <is>
          <t>Não identificado</t>
        </is>
      </c>
      <c r="C14" s="24" t="inlineStr">
        <is>
          <t>Não identificado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62" customWidth="1" style="13" min="2" max="2"/>
    <col width="20" customWidth="1" style="13" min="3" max="3"/>
    <col width="12" customWidth="1" style="13" min="4" max="4"/>
    <col width="14" customWidth="1" style="13" min="5" max="5"/>
  </cols>
  <sheetData>
    <row r="1" ht="15" customHeight="1" s="14">
      <c r="A1" s="18" t="inlineStr">
        <is>
          <t>area_codigo</t>
        </is>
      </c>
      <c r="B1" s="18" t="inlineStr">
        <is>
          <t>area_nome</t>
        </is>
      </c>
      <c r="C1" s="18" t="inlineStr">
        <is>
          <t>ocupacoes_mapeadas</t>
        </is>
      </c>
      <c r="D1" s="18" t="inlineStr">
        <is>
          <t>principal</t>
        </is>
      </c>
      <c r="E1" s="18" t="inlineStr">
        <is>
          <t>a_verificar</t>
        </is>
      </c>
    </row>
    <row r="2" ht="15" customHeight="1" s="14">
      <c r="A2" s="19" t="inlineStr">
        <is>
          <t>00</t>
        </is>
      </c>
      <c r="B2" s="20">
        <f>CINE_Areas!B2</f>
        <v/>
      </c>
      <c r="C2" s="20">
        <f>COUNTIFS(DePara_CBO_CINE!$D$2:$D$80,A2)</f>
        <v/>
      </c>
      <c r="D2" s="20">
        <f>COUNTIFS(DePara_CBO_CINE!$D$2:$D$80,A2,DePara_CBO_CINE!$F$2:$F$80,"Principal")</f>
        <v/>
      </c>
      <c r="E2" s="20">
        <f>COUNTIFS(DePara_CBO_CINE!$D$2:$D$80,A2,DePara_CBO_CINE!$G$2:$G$80,"Verificar")</f>
        <v/>
      </c>
    </row>
    <row r="3" ht="15" customHeight="1" s="14">
      <c r="A3" s="19" t="inlineStr">
        <is>
          <t>01</t>
        </is>
      </c>
      <c r="B3" s="20">
        <f>CINE_Areas!B3</f>
        <v/>
      </c>
      <c r="C3" s="20">
        <f>COUNTIFS(DePara_CBO_CINE!$D$2:$D$80,A3)</f>
        <v/>
      </c>
      <c r="D3" s="20">
        <f>COUNTIFS(DePara_CBO_CINE!$D$2:$D$80,A3,DePara_CBO_CINE!$F$2:$F$80,"Principal")</f>
        <v/>
      </c>
      <c r="E3" s="20">
        <f>COUNTIFS(DePara_CBO_CINE!$D$2:$D$80,A3,DePara_CBO_CINE!$G$2:$G$80,"Verificar")</f>
        <v/>
      </c>
    </row>
    <row r="4" ht="15" customHeight="1" s="14">
      <c r="A4" s="19" t="inlineStr">
        <is>
          <t>02</t>
        </is>
      </c>
      <c r="B4" s="20">
        <f>CINE_Areas!B4</f>
        <v/>
      </c>
      <c r="C4" s="20">
        <f>COUNTIFS(DePara_CBO_CINE!$D$2:$D$80,A4)</f>
        <v/>
      </c>
      <c r="D4" s="20">
        <f>COUNTIFS(DePara_CBO_CINE!$D$2:$D$80,A4,DePara_CBO_CINE!$F$2:$F$80,"Principal")</f>
        <v/>
      </c>
      <c r="E4" s="20">
        <f>COUNTIFS(DePara_CBO_CINE!$D$2:$D$80,A4,DePara_CBO_CINE!$G$2:$G$80,"Verificar")</f>
        <v/>
      </c>
    </row>
    <row r="5" ht="15" customHeight="1" s="14">
      <c r="A5" s="19" t="inlineStr">
        <is>
          <t>03</t>
        </is>
      </c>
      <c r="B5" s="20">
        <f>CINE_Areas!B5</f>
        <v/>
      </c>
      <c r="C5" s="20">
        <f>COUNTIFS(DePara_CBO_CINE!$D$2:$D$80,A5)</f>
        <v/>
      </c>
      <c r="D5" s="20">
        <f>COUNTIFS(DePara_CBO_CINE!$D$2:$D$80,A5,DePara_CBO_CINE!$F$2:$F$80,"Principal")</f>
        <v/>
      </c>
      <c r="E5" s="20">
        <f>COUNTIFS(DePara_CBO_CINE!$D$2:$D$80,A5,DePara_CBO_CINE!$G$2:$G$80,"Verificar")</f>
        <v/>
      </c>
    </row>
    <row r="6" ht="15" customHeight="1" s="14">
      <c r="A6" s="19" t="inlineStr">
        <is>
          <t>04</t>
        </is>
      </c>
      <c r="B6" s="20">
        <f>CINE_Areas!B6</f>
        <v/>
      </c>
      <c r="C6" s="20">
        <f>COUNTIFS(DePara_CBO_CINE!$D$2:$D$80,A6)</f>
        <v/>
      </c>
      <c r="D6" s="20">
        <f>COUNTIFS(DePara_CBO_CINE!$D$2:$D$80,A6,DePara_CBO_CINE!$F$2:$F$80,"Principal")</f>
        <v/>
      </c>
      <c r="E6" s="20">
        <f>COUNTIFS(DePara_CBO_CINE!$D$2:$D$80,A6,DePara_CBO_CINE!$G$2:$G$80,"Verificar")</f>
        <v/>
      </c>
    </row>
    <row r="7" ht="15" customHeight="1" s="14">
      <c r="A7" s="19" t="inlineStr">
        <is>
          <t>05</t>
        </is>
      </c>
      <c r="B7" s="20">
        <f>CINE_Areas!B7</f>
        <v/>
      </c>
      <c r="C7" s="20">
        <f>COUNTIFS(DePara_CBO_CINE!$D$2:$D$80,A7)</f>
        <v/>
      </c>
      <c r="D7" s="20">
        <f>COUNTIFS(DePara_CBO_CINE!$D$2:$D$80,A7,DePara_CBO_CINE!$F$2:$F$80,"Principal")</f>
        <v/>
      </c>
      <c r="E7" s="20">
        <f>COUNTIFS(DePara_CBO_CINE!$D$2:$D$80,A7,DePara_CBO_CINE!$G$2:$G$80,"Verificar")</f>
        <v/>
      </c>
    </row>
    <row r="8" ht="15" customHeight="1" s="14">
      <c r="A8" s="19" t="inlineStr">
        <is>
          <t>06</t>
        </is>
      </c>
      <c r="B8" s="20">
        <f>CINE_Areas!B8</f>
        <v/>
      </c>
      <c r="C8" s="20">
        <f>COUNTIFS(DePara_CBO_CINE!$D$2:$D$80,A8)</f>
        <v/>
      </c>
      <c r="D8" s="20">
        <f>COUNTIFS(DePara_CBO_CINE!$D$2:$D$80,A8,DePara_CBO_CINE!$F$2:$F$80,"Principal")</f>
        <v/>
      </c>
      <c r="E8" s="20">
        <f>COUNTIFS(DePara_CBO_CINE!$D$2:$D$80,A8,DePara_CBO_CINE!$G$2:$G$80,"Verificar")</f>
        <v/>
      </c>
    </row>
    <row r="9" ht="15" customHeight="1" s="14">
      <c r="A9" s="19" t="inlineStr">
        <is>
          <t>07</t>
        </is>
      </c>
      <c r="B9" s="20">
        <f>CINE_Areas!B9</f>
        <v/>
      </c>
      <c r="C9" s="20">
        <f>COUNTIFS(DePara_CBO_CINE!$D$2:$D$80,A9)</f>
        <v/>
      </c>
      <c r="D9" s="20">
        <f>COUNTIFS(DePara_CBO_CINE!$D$2:$D$80,A9,DePara_CBO_CINE!$F$2:$F$80,"Principal")</f>
        <v/>
      </c>
      <c r="E9" s="20">
        <f>COUNTIFS(DePara_CBO_CINE!$D$2:$D$80,A9,DePara_CBO_CINE!$G$2:$G$80,"Verificar")</f>
        <v/>
      </c>
    </row>
    <row r="10" ht="15" customHeight="1" s="14">
      <c r="A10" s="19" t="inlineStr">
        <is>
          <t>08</t>
        </is>
      </c>
      <c r="B10" s="20">
        <f>CINE_Areas!B10</f>
        <v/>
      </c>
      <c r="C10" s="20">
        <f>COUNTIFS(DePara_CBO_CINE!$D$2:$D$80,A10)</f>
        <v/>
      </c>
      <c r="D10" s="20">
        <f>COUNTIFS(DePara_CBO_CINE!$D$2:$D$80,A10,DePara_CBO_CINE!$F$2:$F$80,"Principal")</f>
        <v/>
      </c>
      <c r="E10" s="20">
        <f>COUNTIFS(DePara_CBO_CINE!$D$2:$D$80,A10,DePara_CBO_CINE!$G$2:$G$80,"Verificar")</f>
        <v/>
      </c>
    </row>
    <row r="11" ht="15" customHeight="1" s="14">
      <c r="A11" s="19" t="inlineStr">
        <is>
          <t>09</t>
        </is>
      </c>
      <c r="B11" s="20">
        <f>CINE_Areas!B11</f>
        <v/>
      </c>
      <c r="C11" s="20">
        <f>COUNTIFS(DePara_CBO_CINE!$D$2:$D$80,A11)</f>
        <v/>
      </c>
      <c r="D11" s="20">
        <f>COUNTIFS(DePara_CBO_CINE!$D$2:$D$80,A11,DePara_CBO_CINE!$F$2:$F$80,"Principal")</f>
        <v/>
      </c>
      <c r="E11" s="20">
        <f>COUNTIFS(DePara_CBO_CINE!$D$2:$D$80,A11,DePara_CBO_CINE!$G$2:$G$80,"Verificar")</f>
        <v/>
      </c>
    </row>
    <row r="12" ht="15" customHeight="1" s="14">
      <c r="A12" s="19" t="inlineStr">
        <is>
          <t>10</t>
        </is>
      </c>
      <c r="B12" s="20">
        <f>CINE_Areas!B12</f>
        <v/>
      </c>
      <c r="C12" s="20">
        <f>COUNTIFS(DePara_CBO_CINE!$D$2:$D$80,A12)</f>
        <v/>
      </c>
      <c r="D12" s="20">
        <f>COUNTIFS(DePara_CBO_CINE!$D$2:$D$80,A12,DePara_CBO_CINE!$F$2:$F$80,"Principal")</f>
        <v/>
      </c>
      <c r="E12" s="20">
        <f>COUNTIFS(DePara_CBO_CINE!$D$2:$D$80,A12,DePara_CBO_CINE!$G$2:$G$80,"Verificar")</f>
        <v/>
      </c>
    </row>
    <row r="13" ht="15" customHeight="1" s="14">
      <c r="B13" s="25" t="inlineStr">
        <is>
          <t>Total</t>
        </is>
      </c>
      <c r="C13" s="25">
        <f>SUM(C2:C12)</f>
        <v/>
      </c>
      <c r="D13" s="25">
        <f>SUM(D2:D12)</f>
        <v/>
      </c>
      <c r="E13" s="25">
        <f>SUM(E2:E12)</f>
        <v/>
      </c>
    </row>
    <row r="14"/>
    <row r="15" ht="15" customHeight="1" s="14">
      <c r="A15" s="26" t="inlineStr">
        <is>
          <t>Área 00 (Programas básicos) não tem ocupação associada; zero é esperado.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2026-09-30T18:21:52Z</dcterms:created>
  <dcterms:modified xsi:type="dcterms:W3CDTF">2026-09-30T19:26:36Z</dcterms:modified>
  <cp:revision>0</cp:revision>
</cp:coreProperties>
</file>